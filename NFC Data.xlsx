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afe4f1046963ea/Documents/Iroko Critic/Nollywood Film Club/"/>
    </mc:Choice>
  </mc:AlternateContent>
  <xr:revisionPtr revIDLastSave="0" documentId="8_{15A931CE-336B-40B0-867C-AF1332C51078}" xr6:coauthVersionLast="47" xr6:coauthVersionMax="47" xr10:uidLastSave="{00000000-0000-0000-0000-000000000000}"/>
  <bookViews>
    <workbookView xWindow="-38510" yWindow="-7420" windowWidth="38620" windowHeight="21100" xr2:uid="{A1B53C69-3DC1-4F30-8098-40BE8E93AAB2}"/>
  </bookViews>
  <sheets>
    <sheet name="NFC Score" sheetId="1" r:id="rId1"/>
    <sheet name="NFC All time" sheetId="2" r:id="rId2"/>
  </sheets>
  <definedNames>
    <definedName name="_xlnm._FilterDatabase" localSheetId="1" hidden="1">'NFC All time'!$A$1:$G$194</definedName>
    <definedName name="_xlnm._FilterDatabase" localSheetId="0" hidden="1">'NFC Score'!$A$1:$I$71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8" i="2" l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119" i="2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E98" i="2"/>
  <c r="B71" i="2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G54" i="2"/>
  <c r="G48" i="2"/>
  <c r="E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F20" i="2"/>
  <c r="F19" i="2"/>
  <c r="F18" i="2"/>
  <c r="F17" i="2"/>
  <c r="F16" i="2"/>
  <c r="F15" i="2"/>
  <c r="A3" i="2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I82" i="1"/>
  <c r="A82" i="1"/>
  <c r="I81" i="1"/>
  <c r="A81" i="1"/>
  <c r="I80" i="1"/>
  <c r="A80" i="1"/>
  <c r="I79" i="1"/>
  <c r="A79" i="1"/>
  <c r="I78" i="1"/>
  <c r="A78" i="1"/>
  <c r="I77" i="1"/>
  <c r="A77" i="1"/>
  <c r="I76" i="1"/>
  <c r="A76" i="1"/>
  <c r="I75" i="1"/>
  <c r="A75" i="1"/>
  <c r="I74" i="1"/>
  <c r="A74" i="1"/>
  <c r="I73" i="1"/>
  <c r="A73" i="1"/>
  <c r="I72" i="1"/>
  <c r="A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E99" i="2" l="1"/>
  <c r="F98" i="2"/>
  <c r="B48" i="2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E47" i="2"/>
  <c r="F46" i="2"/>
  <c r="A4" i="2"/>
  <c r="F3" i="2"/>
  <c r="E100" i="2" l="1"/>
  <c r="F99" i="2"/>
  <c r="A5" i="2"/>
  <c r="F4" i="2"/>
  <c r="F47" i="2"/>
  <c r="E48" i="2"/>
  <c r="F100" i="2" l="1"/>
  <c r="E101" i="2"/>
  <c r="F5" i="2"/>
  <c r="A6" i="2"/>
  <c r="E49" i="2"/>
  <c r="F48" i="2"/>
  <c r="F101" i="2" l="1"/>
  <c r="E102" i="2"/>
  <c r="F6" i="2"/>
  <c r="A7" i="2"/>
  <c r="E50" i="2"/>
  <c r="F49" i="2"/>
  <c r="E103" i="2" l="1"/>
  <c r="F102" i="2"/>
  <c r="F7" i="2"/>
  <c r="A8" i="2"/>
  <c r="F50" i="2"/>
  <c r="E51" i="2"/>
  <c r="E104" i="2" l="1"/>
  <c r="F103" i="2"/>
  <c r="A9" i="2"/>
  <c r="F8" i="2"/>
  <c r="F51" i="2"/>
  <c r="E52" i="2"/>
  <c r="E105" i="2" l="1"/>
  <c r="F104" i="2"/>
  <c r="A10" i="2"/>
  <c r="F9" i="2"/>
  <c r="E53" i="2"/>
  <c r="F52" i="2"/>
  <c r="F105" i="2" l="1"/>
  <c r="E106" i="2"/>
  <c r="A11" i="2"/>
  <c r="F10" i="2"/>
  <c r="E54" i="2"/>
  <c r="F53" i="2"/>
  <c r="E107" i="2" l="1"/>
  <c r="F106" i="2"/>
  <c r="F11" i="2"/>
  <c r="A12" i="2"/>
  <c r="E55" i="2"/>
  <c r="F54" i="2"/>
  <c r="F107" i="2" l="1"/>
  <c r="E108" i="2"/>
  <c r="A13" i="2"/>
  <c r="F12" i="2"/>
  <c r="F55" i="2"/>
  <c r="E56" i="2"/>
  <c r="E109" i="2" l="1"/>
  <c r="F108" i="2"/>
  <c r="F13" i="2"/>
  <c r="A14" i="2"/>
  <c r="E57" i="2"/>
  <c r="F56" i="2"/>
  <c r="E110" i="2" l="1"/>
  <c r="F109" i="2"/>
  <c r="F14" i="2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F57" i="2"/>
  <c r="E58" i="2"/>
  <c r="F110" i="2" l="1"/>
  <c r="E111" i="2"/>
  <c r="E59" i="2"/>
  <c r="F58" i="2"/>
  <c r="E112" i="2" l="1"/>
  <c r="F111" i="2"/>
  <c r="F59" i="2"/>
  <c r="E60" i="2"/>
  <c r="F112" i="2" l="1"/>
  <c r="E113" i="2"/>
  <c r="E61" i="2"/>
  <c r="F60" i="2"/>
  <c r="E114" i="2" l="1"/>
  <c r="F113" i="2"/>
  <c r="F61" i="2"/>
  <c r="E62" i="2"/>
  <c r="F114" i="2" l="1"/>
  <c r="E115" i="2"/>
  <c r="F62" i="2"/>
  <c r="E63" i="2"/>
  <c r="F115" i="2" l="1"/>
  <c r="E116" i="2"/>
  <c r="F63" i="2"/>
  <c r="E64" i="2"/>
  <c r="E117" i="2" l="1"/>
  <c r="F116" i="2"/>
  <c r="E65" i="2"/>
  <c r="F64" i="2"/>
  <c r="E118" i="2" l="1"/>
  <c r="F117" i="2"/>
  <c r="E66" i="2"/>
  <c r="F65" i="2"/>
  <c r="E119" i="2" l="1"/>
  <c r="F118" i="2"/>
  <c r="F66" i="2"/>
  <c r="E67" i="2"/>
  <c r="F119" i="2" l="1"/>
  <c r="E120" i="2"/>
  <c r="E68" i="2"/>
  <c r="F67" i="2"/>
  <c r="F120" i="2" l="1"/>
  <c r="E121" i="2"/>
  <c r="F68" i="2"/>
  <c r="E69" i="2"/>
  <c r="E122" i="2" l="1"/>
  <c r="F121" i="2"/>
  <c r="E70" i="2"/>
  <c r="F69" i="2"/>
  <c r="F122" i="2" l="1"/>
  <c r="E123" i="2"/>
  <c r="E71" i="2"/>
  <c r="F70" i="2"/>
  <c r="E124" i="2" l="1"/>
  <c r="F123" i="2"/>
  <c r="F71" i="2"/>
  <c r="E72" i="2"/>
  <c r="F124" i="2" l="1"/>
  <c r="E125" i="2"/>
  <c r="E73" i="2"/>
  <c r="F72" i="2"/>
  <c r="F125" i="2" l="1"/>
  <c r="E126" i="2"/>
  <c r="F73" i="2"/>
  <c r="E74" i="2"/>
  <c r="F126" i="2" l="1"/>
  <c r="E127" i="2"/>
  <c r="E75" i="2"/>
  <c r="F74" i="2"/>
  <c r="E128" i="2" l="1"/>
  <c r="F127" i="2"/>
  <c r="E76" i="2"/>
  <c r="F75" i="2"/>
  <c r="F128" i="2" l="1"/>
  <c r="E129" i="2"/>
  <c r="F76" i="2"/>
  <c r="E77" i="2"/>
  <c r="E130" i="2" l="1"/>
  <c r="F129" i="2"/>
  <c r="E78" i="2"/>
  <c r="F77" i="2"/>
  <c r="F130" i="2" l="1"/>
  <c r="E131" i="2"/>
  <c r="E79" i="2"/>
  <c r="F78" i="2"/>
  <c r="E132" i="2" l="1"/>
  <c r="F131" i="2"/>
  <c r="F79" i="2"/>
  <c r="E80" i="2"/>
  <c r="F132" i="2" l="1"/>
  <c r="E133" i="2"/>
  <c r="E81" i="2"/>
  <c r="F80" i="2"/>
  <c r="E134" i="2" l="1"/>
  <c r="F133" i="2"/>
  <c r="E82" i="2"/>
  <c r="F81" i="2"/>
  <c r="F134" i="2" l="1"/>
  <c r="E135" i="2"/>
  <c r="F82" i="2"/>
  <c r="E83" i="2"/>
  <c r="E136" i="2" l="1"/>
  <c r="F135" i="2"/>
  <c r="F83" i="2"/>
  <c r="E84" i="2"/>
  <c r="E137" i="2" l="1"/>
  <c r="F136" i="2"/>
  <c r="E85" i="2"/>
  <c r="F84" i="2"/>
  <c r="F137" i="2" l="1"/>
  <c r="E138" i="2"/>
  <c r="E86" i="2"/>
  <c r="F85" i="2"/>
  <c r="F138" i="2" l="1"/>
  <c r="E139" i="2"/>
  <c r="F86" i="2"/>
  <c r="E87" i="2"/>
  <c r="E140" i="2" l="1"/>
  <c r="F139" i="2"/>
  <c r="E88" i="2"/>
  <c r="F87" i="2"/>
  <c r="F140" i="2" l="1"/>
  <c r="E141" i="2"/>
  <c r="E89" i="2"/>
  <c r="F88" i="2"/>
  <c r="F141" i="2" l="1"/>
  <c r="E142" i="2"/>
  <c r="E90" i="2"/>
  <c r="F89" i="2"/>
  <c r="E143" i="2" l="1"/>
  <c r="F142" i="2"/>
  <c r="F90" i="2"/>
  <c r="E91" i="2"/>
  <c r="F143" i="2" l="1"/>
  <c r="E144" i="2"/>
  <c r="E92" i="2"/>
  <c r="F91" i="2"/>
  <c r="F144" i="2" l="1"/>
  <c r="E145" i="2"/>
  <c r="F92" i="2"/>
  <c r="E93" i="2"/>
  <c r="F145" i="2" l="1"/>
  <c r="E146" i="2"/>
  <c r="E94" i="2"/>
  <c r="F93" i="2"/>
  <c r="E147" i="2" l="1"/>
  <c r="F146" i="2"/>
  <c r="E95" i="2"/>
  <c r="F94" i="2"/>
  <c r="E148" i="2" l="1"/>
  <c r="F147" i="2"/>
  <c r="F95" i="2"/>
  <c r="E96" i="2"/>
  <c r="E149" i="2" l="1"/>
  <c r="F148" i="2"/>
  <c r="F97" i="2"/>
  <c r="F96" i="2"/>
  <c r="F149" i="2" l="1"/>
  <c r="E150" i="2"/>
  <c r="F150" i="2" l="1"/>
  <c r="E151" i="2"/>
  <c r="F151" i="2" l="1"/>
  <c r="E152" i="2"/>
  <c r="F152" i="2" l="1"/>
  <c r="E153" i="2"/>
  <c r="E154" i="2" l="1"/>
  <c r="F153" i="2"/>
  <c r="F154" i="2" l="1"/>
  <c r="E155" i="2"/>
  <c r="E156" i="2" l="1"/>
  <c r="F155" i="2"/>
  <c r="F156" i="2" l="1"/>
  <c r="E157" i="2"/>
  <c r="E158" i="2" l="1"/>
  <c r="F157" i="2"/>
  <c r="F158" i="2" l="1"/>
  <c r="E159" i="2"/>
  <c r="F159" i="2" l="1"/>
  <c r="E160" i="2"/>
  <c r="F160" i="2" l="1"/>
  <c r="E161" i="2"/>
  <c r="E162" i="2" l="1"/>
  <c r="F161" i="2"/>
  <c r="E163" i="2" l="1"/>
  <c r="F162" i="2"/>
  <c r="F163" i="2" l="1"/>
  <c r="E164" i="2"/>
  <c r="F164" i="2" l="1"/>
  <c r="E165" i="2"/>
  <c r="F165" i="2" l="1"/>
  <c r="E166" i="2"/>
  <c r="E167" i="2" l="1"/>
  <c r="F166" i="2"/>
  <c r="F167" i="2" l="1"/>
  <c r="E168" i="2"/>
  <c r="F168" i="2" l="1"/>
  <c r="E169" i="2"/>
  <c r="E170" i="2" l="1"/>
  <c r="F169" i="2"/>
  <c r="E171" i="2" l="1"/>
  <c r="F170" i="2"/>
  <c r="E172" i="2" l="1"/>
  <c r="F171" i="2"/>
  <c r="F172" i="2" l="1"/>
  <c r="E173" i="2"/>
  <c r="F173" i="2" l="1"/>
  <c r="E174" i="2"/>
  <c r="E175" i="2" l="1"/>
  <c r="F174" i="2"/>
  <c r="F175" i="2" l="1"/>
  <c r="E176" i="2"/>
  <c r="F176" i="2" l="1"/>
  <c r="E177" i="2"/>
  <c r="F177" i="2" l="1"/>
  <c r="E178" i="2"/>
  <c r="E179" i="2" l="1"/>
  <c r="F178" i="2"/>
  <c r="F179" i="2" l="1"/>
  <c r="E180" i="2"/>
  <c r="F180" i="2" l="1"/>
  <c r="E181" i="2"/>
  <c r="F181" i="2" l="1"/>
  <c r="E182" i="2"/>
  <c r="F182" i="2" l="1"/>
  <c r="E183" i="2"/>
  <c r="F183" i="2" l="1"/>
  <c r="E184" i="2"/>
  <c r="E185" i="2" l="1"/>
  <c r="F184" i="2"/>
  <c r="F185" i="2" l="1"/>
  <c r="E186" i="2"/>
  <c r="E187" i="2" l="1"/>
  <c r="F186" i="2"/>
  <c r="E188" i="2" l="1"/>
  <c r="F187" i="2"/>
  <c r="E189" i="2" l="1"/>
  <c r="F188" i="2"/>
  <c r="E190" i="2" l="1"/>
  <c r="F189" i="2"/>
  <c r="F190" i="2" l="1"/>
  <c r="E191" i="2"/>
  <c r="F191" i="2" l="1"/>
  <c r="E192" i="2"/>
  <c r="F192" i="2" l="1"/>
  <c r="E193" i="2"/>
  <c r="F193" i="2" l="1"/>
  <c r="E194" i="2"/>
  <c r="F194" i="2" l="1"/>
  <c r="E195" i="2"/>
  <c r="F195" i="2" l="1"/>
  <c r="E196" i="2"/>
  <c r="F196" i="2" l="1"/>
  <c r="E197" i="2"/>
  <c r="F197" i="2" l="1"/>
  <c r="E198" i="2"/>
  <c r="F198" i="2" l="1"/>
  <c r="E199" i="2"/>
  <c r="F199" i="2" l="1"/>
  <c r="E200" i="2"/>
  <c r="F200" i="2" l="1"/>
  <c r="E201" i="2"/>
  <c r="F201" i="2" l="1"/>
  <c r="E202" i="2"/>
  <c r="F202" i="2" l="1"/>
  <c r="E203" i="2"/>
  <c r="F203" i="2" l="1"/>
  <c r="E204" i="2"/>
  <c r="F204" i="2" l="1"/>
  <c r="E205" i="2"/>
  <c r="F205" i="2" l="1"/>
  <c r="E206" i="2"/>
  <c r="F206" i="2" l="1"/>
  <c r="E207" i="2"/>
  <c r="F207" i="2" l="1"/>
  <c r="E208" i="2"/>
  <c r="F208" i="2" l="1"/>
  <c r="E209" i="2"/>
  <c r="F209" i="2" l="1"/>
  <c r="E210" i="2"/>
  <c r="F210" i="2" l="1"/>
  <c r="E211" i="2"/>
  <c r="F211" i="2" l="1"/>
  <c r="E212" i="2"/>
  <c r="F212" i="2" s="1"/>
</calcChain>
</file>

<file path=xl/sharedStrings.xml><?xml version="1.0" encoding="utf-8"?>
<sst xmlns="http://schemas.openxmlformats.org/spreadsheetml/2006/main" count="521" uniqueCount="224">
  <si>
    <t>Date</t>
  </si>
  <si>
    <t>Number</t>
  </si>
  <si>
    <t>Title</t>
  </si>
  <si>
    <t>Liked</t>
  </si>
  <si>
    <t>Okay</t>
  </si>
  <si>
    <t>Disliked</t>
  </si>
  <si>
    <t>Aproko FC</t>
  </si>
  <si>
    <t>No of votes</t>
  </si>
  <si>
    <t>NFC Score</t>
  </si>
  <si>
    <t>A Sunday Affair</t>
  </si>
  <si>
    <t>Here Love Lies</t>
  </si>
  <si>
    <t>Jolly Roger</t>
  </si>
  <si>
    <t>The Trade</t>
  </si>
  <si>
    <t>African Folktales Reimagined</t>
  </si>
  <si>
    <t>Gangs Of Lagos</t>
  </si>
  <si>
    <t>A Simple Lie</t>
  </si>
  <si>
    <t>The Order Of Things</t>
  </si>
  <si>
    <t>Samaria</t>
  </si>
  <si>
    <t>The Way Things Happen</t>
  </si>
  <si>
    <t>Ile Owo</t>
  </si>
  <si>
    <t>Love In A Pandemic</t>
  </si>
  <si>
    <t>Passport</t>
  </si>
  <si>
    <t>Sista</t>
  </si>
  <si>
    <t>Obara'm</t>
  </si>
  <si>
    <t>Battle On Buka Street</t>
  </si>
  <si>
    <t>The House Of Secrets</t>
  </si>
  <si>
    <t>Yahoo+</t>
  </si>
  <si>
    <t>The Figurine</t>
  </si>
  <si>
    <t>Up North</t>
  </si>
  <si>
    <t>Jagun Jagun</t>
  </si>
  <si>
    <t>The One For Sarah</t>
  </si>
  <si>
    <t>A Young Time Ago</t>
  </si>
  <si>
    <t>Devil In Agbada</t>
  </si>
  <si>
    <t>Hide N Seek</t>
  </si>
  <si>
    <t>The Black Book</t>
  </si>
  <si>
    <t>She Must Be Obeyed</t>
  </si>
  <si>
    <t>Ijogbon</t>
  </si>
  <si>
    <t>Big Love</t>
  </si>
  <si>
    <t>The Origins: Madam Koi Koi Chapter 1</t>
  </si>
  <si>
    <t>The Origins: Madam Koi Koi Chapter 2</t>
  </si>
  <si>
    <t>The Origins: Madam Koi Koi</t>
  </si>
  <si>
    <t>Ololade</t>
  </si>
  <si>
    <t>Blood Vessel</t>
  </si>
  <si>
    <t>Breath Of Life</t>
  </si>
  <si>
    <t>Love Notes</t>
  </si>
  <si>
    <t>N/A</t>
  </si>
  <si>
    <t>The Meeting</t>
  </si>
  <si>
    <t>With Difficulty Comes Ease</t>
  </si>
  <si>
    <t>Phone Swap</t>
  </si>
  <si>
    <t>Afamefuna</t>
  </si>
  <si>
    <t>Funmilayo Ransome Kuti</t>
  </si>
  <si>
    <t>Kill Boro</t>
  </si>
  <si>
    <t>A Father's Love</t>
  </si>
  <si>
    <t>A Tribe Called Judah</t>
  </si>
  <si>
    <t>Suspicion</t>
  </si>
  <si>
    <t>Adire</t>
  </si>
  <si>
    <t>House Of Ga'a</t>
  </si>
  <si>
    <t>Strained</t>
  </si>
  <si>
    <t>Momiwa</t>
  </si>
  <si>
    <t>A Green Fever</t>
  </si>
  <si>
    <t>At Ease</t>
  </si>
  <si>
    <t>Potato Potahto</t>
  </si>
  <si>
    <t>Bank Alert</t>
  </si>
  <si>
    <t>Onye Egwu</t>
  </si>
  <si>
    <t>Anikulapo: Rise Of The Spectre</t>
  </si>
  <si>
    <t>Offhsoot</t>
  </si>
  <si>
    <t>Casa De Novia</t>
  </si>
  <si>
    <t>Muri &amp; Ko</t>
  </si>
  <si>
    <t>Tokunbo</t>
  </si>
  <si>
    <t>Oloture: The Journey</t>
  </si>
  <si>
    <t>A Weekend To Forget</t>
  </si>
  <si>
    <t>Ch3mistry</t>
  </si>
  <si>
    <t>Dinner</t>
  </si>
  <si>
    <t>The Kujus Again</t>
  </si>
  <si>
    <t>Orisa</t>
  </si>
  <si>
    <t>Hijack '93</t>
  </si>
  <si>
    <t>Postcards</t>
  </si>
  <si>
    <t>Water &amp; Garri</t>
  </si>
  <si>
    <t>Christmas In Lagos</t>
  </si>
  <si>
    <t>Finding Me</t>
  </si>
  <si>
    <t>Suky</t>
  </si>
  <si>
    <t>A Lagos Love Story</t>
  </si>
  <si>
    <t>Landline</t>
  </si>
  <si>
    <t>After 30</t>
  </si>
  <si>
    <t>The Party</t>
  </si>
  <si>
    <t>The Fire And The Moth</t>
  </si>
  <si>
    <t>Baby Farm</t>
  </si>
  <si>
    <t>Ms Kanyin</t>
  </si>
  <si>
    <t>The Lost Days</t>
  </si>
  <si>
    <t>To Kill A Monkey</t>
  </si>
  <si>
    <t>Space # (All time)</t>
  </si>
  <si>
    <t>Space # (Year)</t>
  </si>
  <si>
    <t>Discussion</t>
  </si>
  <si>
    <t>Podcast #</t>
  </si>
  <si>
    <t>This Lady Called Life</t>
  </si>
  <si>
    <t>NFC</t>
  </si>
  <si>
    <t>Streaming Effects &amp; Ojukokoro</t>
  </si>
  <si>
    <t>Nollywood Prediction &amp; Seve</t>
  </si>
  <si>
    <t>I don't do nollywood</t>
  </si>
  <si>
    <t>Nollywood Favourites</t>
  </si>
  <si>
    <t>Rattlesnake : The Ahanna Story</t>
  </si>
  <si>
    <t>Day Of Destiny</t>
  </si>
  <si>
    <t>Day Of Destiny &amp; King Of Boy:</t>
  </si>
  <si>
    <t>lje</t>
  </si>
  <si>
    <t>Nneka The Pretty Serpent</t>
  </si>
  <si>
    <t>King Of Boys Vol 2</t>
  </si>
  <si>
    <t>Omo Ghetto</t>
  </si>
  <si>
    <t>Smart Money Woman</t>
  </si>
  <si>
    <t>Swallow</t>
  </si>
  <si>
    <t>Namaste Wahala &amp; 76</t>
  </si>
  <si>
    <t>Amina &amp; Gone</t>
  </si>
  <si>
    <t>Oga Bolaji &amp; Alter Ego</t>
  </si>
  <si>
    <t>La Femme Anjola</t>
  </si>
  <si>
    <t>A Naija Christmas</t>
  </si>
  <si>
    <t>Chief Daddy 2</t>
  </si>
  <si>
    <t>Juju Stories</t>
  </si>
  <si>
    <t>NollyFight #0</t>
  </si>
  <si>
    <t>Isoken</t>
  </si>
  <si>
    <t>Falling</t>
  </si>
  <si>
    <t>Flower Girl</t>
  </si>
  <si>
    <t>Sugar Rush</t>
  </si>
  <si>
    <t>The Lost Okoroshi</t>
  </si>
  <si>
    <t>Sylvia</t>
  </si>
  <si>
    <t>Lionheart</t>
  </si>
  <si>
    <t>The Man Of God</t>
  </si>
  <si>
    <t>Kambili</t>
  </si>
  <si>
    <t>Living in Bondage: Breaking Fi</t>
  </si>
  <si>
    <t>Blood Sisters</t>
  </si>
  <si>
    <t>Superstar</t>
  </si>
  <si>
    <t>Ayinla</t>
  </si>
  <si>
    <t>Badamasi</t>
  </si>
  <si>
    <t>Nimbe</t>
  </si>
  <si>
    <t>Foreigner's God</t>
  </si>
  <si>
    <t>Breaded Life</t>
  </si>
  <si>
    <t>Introducing The Kujus</t>
  </si>
  <si>
    <t>Glamour Girls</t>
  </si>
  <si>
    <t>Something Special</t>
  </si>
  <si>
    <t>Prophetess</t>
  </si>
  <si>
    <t>The Blood Covenant</t>
  </si>
  <si>
    <t>Village People</t>
  </si>
  <si>
    <t>Mildred, Precious &amp; Tosin dis</t>
  </si>
  <si>
    <t>The Perfect Arrangement</t>
  </si>
  <si>
    <t>Lockdown</t>
  </si>
  <si>
    <t>The Razz Guy</t>
  </si>
  <si>
    <t>Dwindle</t>
  </si>
  <si>
    <t>King Of Thieves</t>
  </si>
  <si>
    <t>The Razz Guy QnA</t>
  </si>
  <si>
    <t>Collision Course</t>
  </si>
  <si>
    <t>Fine Wine</t>
  </si>
  <si>
    <t>The Man For The Job</t>
  </si>
  <si>
    <t>Country Hard</t>
  </si>
  <si>
    <t>kulapo</t>
  </si>
  <si>
    <t>Soole</t>
  </si>
  <si>
    <t>Aki &amp; Pawpaw</t>
  </si>
  <si>
    <t>Tainted Canvas</t>
  </si>
  <si>
    <t>Elesin Oba</t>
  </si>
  <si>
    <t>Eyimofe</t>
  </si>
  <si>
    <t>Hey You</t>
  </si>
  <si>
    <t>The Griot</t>
  </si>
  <si>
    <t>Nollyfight</t>
  </si>
  <si>
    <t>2022 Recap</t>
  </si>
  <si>
    <t>Far Frome Home</t>
  </si>
  <si>
    <t>The Wait</t>
  </si>
  <si>
    <t>Shanty Town</t>
  </si>
  <si>
    <t>Brotherhood</t>
  </si>
  <si>
    <t>All Na Vibes</t>
  </si>
  <si>
    <t>Before Valentine's</t>
  </si>
  <si>
    <t>Romance in Nollywood</t>
  </si>
  <si>
    <t>Female characters in Nollywood</t>
  </si>
  <si>
    <t>AMVCA Nominations</t>
  </si>
  <si>
    <t>lle Owo</t>
  </si>
  <si>
    <t>Half year Review</t>
  </si>
  <si>
    <t>"Why Are Nollywood Movies So Bad?"</t>
  </si>
  <si>
    <t>Feminism In Nollywood</t>
  </si>
  <si>
    <t>Madam Koikoi Q&amp;A Interview</t>
  </si>
  <si>
    <t>2023 Year In Review</t>
  </si>
  <si>
    <t>Nollywood Catch-Up</t>
  </si>
  <si>
    <t>Male Characters In Nollywood</t>
  </si>
  <si>
    <t>Half Year Review</t>
  </si>
  <si>
    <t>Nollywood Unpopular Opinions</t>
  </si>
  <si>
    <t>Big Nunu's Little Heist</t>
  </si>
  <si>
    <t>Lionheart vs Living In Bondage</t>
  </si>
  <si>
    <t>BlackMail</t>
  </si>
  <si>
    <t>NFC Hangout #1 - Things Fall Apart/Movie Catchup</t>
  </si>
  <si>
    <t>NFC Hangout #2 - AMAA nominations, New Nollywood Trailers and Movie Recommendations</t>
  </si>
  <si>
    <t>NFC Hangout #3 - Youtube, the new home for Nollywood? &amp; The State of Nollywood Epics</t>
  </si>
  <si>
    <t>Mo Abudu's Shorts &amp; Nollyfatigue</t>
  </si>
  <si>
    <t>John Boyega, Mo Abudu &amp; What We've Been Watching</t>
  </si>
  <si>
    <t>Christmas Movies In Nollywood</t>
  </si>
  <si>
    <t>Netflix's New Nollywood Strategy</t>
  </si>
  <si>
    <t>2024 Year In Review</t>
  </si>
  <si>
    <t>Drags, Jayne's Trilogy and A Chimamanda Project</t>
  </si>
  <si>
    <t>JCU, Nolly Web Series and New NFC Formart</t>
  </si>
  <si>
    <t>Nolly Soundtrack, Songs and 2024 Cinema Performance</t>
  </si>
  <si>
    <t>Best Nollywood Blockbusters</t>
  </si>
  <si>
    <t>Worst Nollywood Blockbusters</t>
  </si>
  <si>
    <t>Diamond Ring</t>
  </si>
  <si>
    <t>Keeping Faith</t>
  </si>
  <si>
    <t>Half Of A Yellow Sun (Book &amp; Film)</t>
  </si>
  <si>
    <t>State of Nollytube</t>
  </si>
  <si>
    <t>Genres In Nollywood</t>
  </si>
  <si>
    <t>Female Stars in Nollywood</t>
  </si>
  <si>
    <t>Male Stars in Nollywood</t>
  </si>
  <si>
    <t>Nollywood Doom &amp; Gloom</t>
  </si>
  <si>
    <t>Red Circle Marketing And Zubby Chan's Flying Kick</t>
  </si>
  <si>
    <t>Rants, Bants &amp; Karma</t>
  </si>
  <si>
    <t>Zikoko Life Shorts</t>
  </si>
  <si>
    <t>Findind Nina</t>
  </si>
  <si>
    <t>Devil Is A Liar</t>
  </si>
  <si>
    <t>Nollywood Sequesls: Best &amp; Worst</t>
  </si>
  <si>
    <t>Say Who Die</t>
  </si>
  <si>
    <t>Everybody Loves Jenifa</t>
  </si>
  <si>
    <t>NFC Hangout</t>
  </si>
  <si>
    <t>Hangout #2</t>
  </si>
  <si>
    <t>The Last Secret Hangout</t>
  </si>
  <si>
    <t>The Most Toasted Girl S2</t>
  </si>
  <si>
    <t>Thicker Than Water</t>
  </si>
  <si>
    <t>Farmer's Bride</t>
  </si>
  <si>
    <t>Thinline</t>
  </si>
  <si>
    <t>Horror Movies in Nollywood</t>
  </si>
  <si>
    <t>Nollyquit: The End of NFC?</t>
  </si>
  <si>
    <t>Domitilla and the Portrayal of sex work in Nollywood</t>
  </si>
  <si>
    <t>The Herd</t>
  </si>
  <si>
    <t>Best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</si>
</sst>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2D7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B8A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2" fillId="3" borderId="0" xfId="0" applyFont="1" applyFill="1"/>
    <xf numFmtId="9" fontId="0" fillId="0" borderId="0" xfId="1" applyFont="1"/>
    <xf numFmtId="0" fontId="0" fillId="0" borderId="0" xfId="1" applyNumberFormat="1" applyFont="1"/>
    <xf numFmtId="9" fontId="0" fillId="0" borderId="0" xfId="1" applyFont="1" applyFill="1"/>
    <xf numFmtId="0" fontId="3" fillId="4" borderId="0" xfId="0" applyFont="1" applyFill="1"/>
    <xf numFmtId="14" fontId="0" fillId="5" borderId="0" xfId="0" applyNumberFormat="1" applyFill="1"/>
    <xf numFmtId="0" fontId="0" fillId="5" borderId="0" xfId="0" applyFill="1"/>
    <xf numFmtId="9" fontId="0" fillId="5" borderId="0" xfId="1" applyFont="1" applyFill="1"/>
    <xf numFmtId="0" fontId="0" fillId="5" borderId="0" xfId="1" applyNumberFormat="1" applyFont="1" applyFill="1"/>
    <xf numFmtId="9" fontId="1" fillId="0" borderId="0" xfId="1" applyFont="1"/>
    <xf numFmtId="9" fontId="0" fillId="0" borderId="0" xfId="1" applyFont="1" applyAlignment="1">
      <alignment horizontal="right"/>
    </xf>
    <xf numFmtId="9" fontId="4" fillId="0" borderId="0" xfId="1" applyFont="1" applyAlignment="1">
      <alignment horizontal="right"/>
    </xf>
    <xf numFmtId="9" fontId="4" fillId="0" borderId="0" xfId="1" applyFont="1" applyFill="1"/>
    <xf numFmtId="9" fontId="4" fillId="0" borderId="0" xfId="1" applyFont="1" applyFill="1" applyAlignment="1">
      <alignment horizontal="right"/>
    </xf>
    <xf numFmtId="0" fontId="5" fillId="0" borderId="0" xfId="0" applyFont="1"/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wrapText="1"/>
    </xf>
    <xf numFmtId="0" fontId="0" fillId="0" borderId="0" xfId="0" applyAlignment="1">
      <alignment horizontal="left"/>
    </xf>
    <xf numFmtId="0" fontId="6" fillId="0" borderId="0" xfId="2"/>
    <xf numFmtId="0" fontId="0" fillId="7" borderId="0" xfId="0" applyFill="1"/>
  </cellXfs>
  <cellStyles count="3">
    <cellStyle name="Hyperlink" xfId="2" builtinId="8"/>
    <cellStyle name="Normal" xfId="0" builtinId="0"/>
    <cellStyle name="Percent 2" xfId="1" xr:uid="{C96265D4-6C74-4404-A6C8-F976782A08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0945-6C49-4C1F-9793-6332891521B3}">
  <dimension ref="A1:K106"/>
  <sheetViews>
    <sheetView tabSelected="1" zoomScaleNormal="100" workbookViewId="0">
      <pane ySplit="1" topLeftCell="A38" activePane="bottomLeft" state="frozen"/>
      <selection activeCell="M73" sqref="M73"/>
      <selection pane="bottomLeft" activeCell="M73" sqref="M73"/>
    </sheetView>
  </sheetViews>
  <sheetFormatPr defaultRowHeight="15" x14ac:dyDescent="0.25"/>
  <cols>
    <col min="1" max="1" width="12.42578125" bestFit="1" customWidth="1"/>
    <col min="2" max="2" width="10.5703125" bestFit="1" customWidth="1"/>
    <col min="3" max="3" width="35" customWidth="1"/>
    <col min="4" max="4" width="8.140625" style="4" customWidth="1"/>
    <col min="5" max="5" width="9.85546875" style="4" customWidth="1"/>
    <col min="6" max="6" width="9.5703125" style="4" customWidth="1"/>
    <col min="7" max="7" width="12.140625" style="4" customWidth="1"/>
    <col min="8" max="8" width="12.7109375" customWidth="1"/>
    <col min="9" max="9" width="12.85546875" customWidth="1"/>
    <col min="11" max="11" width="13.5703125" customWidth="1"/>
  </cols>
  <sheetData>
    <row r="1" spans="1:9" ht="29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44976</v>
      </c>
      <c r="B2">
        <f>IF(B1="Number",1,B1+1)</f>
        <v>1</v>
      </c>
      <c r="C2" s="3" t="s">
        <v>9</v>
      </c>
      <c r="D2" s="4">
        <v>8.2000000000000003E-2</v>
      </c>
      <c r="E2" s="4">
        <v>0.20499999999999999</v>
      </c>
      <c r="F2" s="4">
        <v>0.434</v>
      </c>
      <c r="G2" s="4">
        <v>0.27900000000000003</v>
      </c>
      <c r="H2" s="5">
        <v>122</v>
      </c>
      <c r="I2" s="6">
        <f t="shared" ref="I2:I37" si="0">IF(E2="N/A","N/A",(ROUND(D2*H2,0)*10/($H2*(1-$G2)*10))+(ROUND(E2*H2,0)*5/($H2*(1-$G2)*10)))</f>
        <v>0.25579227393647253</v>
      </c>
    </row>
    <row r="3" spans="1:9" x14ac:dyDescent="0.25">
      <c r="A3" s="2">
        <v>44990</v>
      </c>
      <c r="B3">
        <f t="shared" ref="B3:B66" si="1">IF(B2="Number",1,B2+1)</f>
        <v>2</v>
      </c>
      <c r="C3" t="s">
        <v>10</v>
      </c>
      <c r="D3" s="4">
        <v>0.13200000000000001</v>
      </c>
      <c r="E3" s="4">
        <v>0.13200000000000001</v>
      </c>
      <c r="F3" s="4">
        <v>0.245</v>
      </c>
      <c r="G3" s="4">
        <v>0.49099999999999999</v>
      </c>
      <c r="H3" s="5">
        <v>53</v>
      </c>
      <c r="I3" s="6">
        <f t="shared" si="0"/>
        <v>0.38922044704748493</v>
      </c>
    </row>
    <row r="4" spans="1:9" x14ac:dyDescent="0.25">
      <c r="A4" s="2">
        <v>44997</v>
      </c>
      <c r="B4">
        <f t="shared" si="1"/>
        <v>3</v>
      </c>
      <c r="C4" t="s">
        <v>11</v>
      </c>
      <c r="D4" s="4">
        <v>0.184</v>
      </c>
      <c r="E4" s="4">
        <v>0.20399999999999999</v>
      </c>
      <c r="F4" s="4">
        <v>0.26500000000000001</v>
      </c>
      <c r="G4" s="4">
        <v>0.34699999999999998</v>
      </c>
      <c r="H4" s="5">
        <v>49</v>
      </c>
      <c r="I4" s="6">
        <f t="shared" si="0"/>
        <v>0.43754101947057533</v>
      </c>
    </row>
    <row r="5" spans="1:9" x14ac:dyDescent="0.25">
      <c r="A5" s="2">
        <v>45004</v>
      </c>
      <c r="B5">
        <f t="shared" si="1"/>
        <v>4</v>
      </c>
      <c r="C5" t="s">
        <v>12</v>
      </c>
      <c r="D5" s="4">
        <v>0.65500000000000003</v>
      </c>
      <c r="E5" s="4">
        <v>0.13800000000000001</v>
      </c>
      <c r="F5" s="4">
        <v>3.4000000000000002E-2</v>
      </c>
      <c r="G5" s="4">
        <v>0.17199999999999999</v>
      </c>
      <c r="H5" s="5">
        <v>145</v>
      </c>
      <c r="I5" s="6">
        <f t="shared" si="0"/>
        <v>0.87456271864067947</v>
      </c>
    </row>
    <row r="6" spans="1:9" x14ac:dyDescent="0.25">
      <c r="A6" s="2">
        <v>45004</v>
      </c>
      <c r="B6">
        <f t="shared" si="1"/>
        <v>5</v>
      </c>
      <c r="C6" t="s">
        <v>12</v>
      </c>
      <c r="D6" s="4">
        <v>0.4</v>
      </c>
      <c r="E6" s="4">
        <v>0.29199999999999998</v>
      </c>
      <c r="F6" s="4">
        <v>7.6999999999999999E-2</v>
      </c>
      <c r="G6" s="4">
        <v>0.23100000000000001</v>
      </c>
      <c r="H6" s="5">
        <v>65</v>
      </c>
      <c r="I6" s="6">
        <f t="shared" si="0"/>
        <v>0.71021306391917571</v>
      </c>
    </row>
    <row r="7" spans="1:9" x14ac:dyDescent="0.25">
      <c r="A7" s="2">
        <v>45018</v>
      </c>
      <c r="B7">
        <f t="shared" si="1"/>
        <v>6</v>
      </c>
      <c r="C7" s="3" t="s">
        <v>13</v>
      </c>
      <c r="D7" s="4">
        <v>0.28299999999999997</v>
      </c>
      <c r="E7" s="4">
        <v>0.217</v>
      </c>
      <c r="F7" s="4">
        <v>6.7000000000000004E-2</v>
      </c>
      <c r="G7" s="4">
        <v>0.433</v>
      </c>
      <c r="H7" s="5">
        <v>60</v>
      </c>
      <c r="I7" s="6">
        <f t="shared" si="0"/>
        <v>0.69077013521457986</v>
      </c>
    </row>
    <row r="8" spans="1:9" x14ac:dyDescent="0.25">
      <c r="A8" s="2">
        <v>45025</v>
      </c>
      <c r="B8">
        <f t="shared" si="1"/>
        <v>7</v>
      </c>
      <c r="C8" s="7" t="s">
        <v>14</v>
      </c>
      <c r="D8" s="4">
        <v>0.47</v>
      </c>
      <c r="E8" s="4">
        <v>0.27700000000000002</v>
      </c>
      <c r="F8" s="4">
        <v>0.06</v>
      </c>
      <c r="G8" s="4">
        <v>0.193</v>
      </c>
      <c r="H8" s="5">
        <v>83</v>
      </c>
      <c r="I8" s="6">
        <f t="shared" si="0"/>
        <v>0.75394514862423678</v>
      </c>
    </row>
    <row r="9" spans="1:9" x14ac:dyDescent="0.25">
      <c r="A9" s="2">
        <v>45046</v>
      </c>
      <c r="B9">
        <f t="shared" si="1"/>
        <v>8</v>
      </c>
      <c r="C9" t="s">
        <v>15</v>
      </c>
      <c r="D9" s="4">
        <v>0.27900000000000003</v>
      </c>
      <c r="E9" s="4">
        <v>0.23300000000000001</v>
      </c>
      <c r="F9" s="4">
        <v>0.372</v>
      </c>
      <c r="G9" s="4">
        <v>0.11600000000000001</v>
      </c>
      <c r="H9" s="5">
        <v>43</v>
      </c>
      <c r="I9" s="6">
        <f t="shared" si="0"/>
        <v>0.44722719141323797</v>
      </c>
    </row>
    <row r="10" spans="1:9" x14ac:dyDescent="0.25">
      <c r="A10" s="2">
        <v>45053</v>
      </c>
      <c r="B10">
        <f t="shared" si="1"/>
        <v>9</v>
      </c>
      <c r="C10" t="s">
        <v>16</v>
      </c>
      <c r="D10" s="4">
        <v>6.0999999999999999E-2</v>
      </c>
      <c r="E10" s="4">
        <v>0.184</v>
      </c>
      <c r="F10" s="4">
        <v>0.38800000000000001</v>
      </c>
      <c r="G10" s="4">
        <v>0.36699999999999999</v>
      </c>
      <c r="H10" s="5">
        <v>98</v>
      </c>
      <c r="I10" s="6">
        <f t="shared" si="0"/>
        <v>0.24180288229035687</v>
      </c>
    </row>
    <row r="11" spans="1:9" x14ac:dyDescent="0.25">
      <c r="A11" s="8">
        <v>45060</v>
      </c>
      <c r="B11">
        <f t="shared" si="1"/>
        <v>10</v>
      </c>
      <c r="C11" s="9" t="s">
        <v>17</v>
      </c>
      <c r="D11" s="10">
        <v>0.26700000000000002</v>
      </c>
      <c r="E11" s="10">
        <v>0.13300000000000001</v>
      </c>
      <c r="F11" s="10">
        <v>0.156</v>
      </c>
      <c r="G11" s="10">
        <v>0.44400000000000001</v>
      </c>
      <c r="H11" s="11">
        <v>45</v>
      </c>
      <c r="I11" s="6">
        <f t="shared" si="0"/>
        <v>0.59952038369304539</v>
      </c>
    </row>
    <row r="12" spans="1:9" x14ac:dyDescent="0.25">
      <c r="A12" s="8">
        <v>45060</v>
      </c>
      <c r="B12">
        <f t="shared" si="1"/>
        <v>11</v>
      </c>
      <c r="C12" s="9" t="s">
        <v>18</v>
      </c>
      <c r="D12" s="10">
        <v>0.57099999999999995</v>
      </c>
      <c r="E12" s="10">
        <v>0.107</v>
      </c>
      <c r="F12" s="10">
        <v>0.14299999999999999</v>
      </c>
      <c r="G12" s="10">
        <v>0.17899999999999999</v>
      </c>
      <c r="H12" s="11">
        <v>28</v>
      </c>
      <c r="I12" s="6">
        <f t="shared" si="0"/>
        <v>0.76126674786845316</v>
      </c>
    </row>
    <row r="13" spans="1:9" x14ac:dyDescent="0.25">
      <c r="A13" s="2">
        <v>45067</v>
      </c>
      <c r="B13">
        <f t="shared" si="1"/>
        <v>12</v>
      </c>
      <c r="C13" t="s">
        <v>19</v>
      </c>
      <c r="D13" s="4">
        <v>8.6999999999999994E-2</v>
      </c>
      <c r="E13" s="4">
        <v>0.217</v>
      </c>
      <c r="F13" s="4">
        <v>0.36499999999999999</v>
      </c>
      <c r="G13" s="4">
        <v>0.33</v>
      </c>
      <c r="H13" s="5">
        <v>115</v>
      </c>
      <c r="I13" s="6">
        <f t="shared" si="0"/>
        <v>0.29201817001946784</v>
      </c>
    </row>
    <row r="14" spans="1:9" x14ac:dyDescent="0.25">
      <c r="A14" s="2">
        <v>45074</v>
      </c>
      <c r="B14">
        <f t="shared" si="1"/>
        <v>13</v>
      </c>
      <c r="C14" t="s">
        <v>20</v>
      </c>
      <c r="D14" s="4">
        <v>0.161</v>
      </c>
      <c r="E14" s="4">
        <v>0.24099999999999999</v>
      </c>
      <c r="F14" s="4">
        <v>0.20699999999999999</v>
      </c>
      <c r="G14" s="4">
        <v>0.39100000000000001</v>
      </c>
      <c r="H14" s="5">
        <v>87</v>
      </c>
      <c r="I14" s="6">
        <f t="shared" si="0"/>
        <v>0.46241247192495716</v>
      </c>
    </row>
    <row r="15" spans="1:9" x14ac:dyDescent="0.25">
      <c r="A15" s="2">
        <v>45081</v>
      </c>
      <c r="B15">
        <f t="shared" si="1"/>
        <v>14</v>
      </c>
      <c r="C15" t="s">
        <v>21</v>
      </c>
      <c r="D15" s="4">
        <v>0.14899999999999999</v>
      </c>
      <c r="E15" s="4">
        <v>0.184</v>
      </c>
      <c r="F15" s="4">
        <v>0.33300000000000002</v>
      </c>
      <c r="G15" s="4">
        <v>0.33300000000000002</v>
      </c>
      <c r="H15" s="5">
        <v>87</v>
      </c>
      <c r="I15" s="6">
        <f t="shared" si="0"/>
        <v>0.36188802150648808</v>
      </c>
    </row>
    <row r="16" spans="1:9" x14ac:dyDescent="0.25">
      <c r="A16" s="2">
        <v>45088</v>
      </c>
      <c r="B16">
        <f t="shared" si="1"/>
        <v>15</v>
      </c>
      <c r="C16" t="s">
        <v>22</v>
      </c>
      <c r="D16" s="4">
        <v>0.59599999999999997</v>
      </c>
      <c r="E16" s="4">
        <v>0.20200000000000001</v>
      </c>
      <c r="F16" s="4">
        <v>2.9000000000000001E-2</v>
      </c>
      <c r="G16" s="4">
        <v>0.17299999999999999</v>
      </c>
      <c r="H16" s="5">
        <v>104</v>
      </c>
      <c r="I16" s="6">
        <f t="shared" si="0"/>
        <v>0.84294484234024747</v>
      </c>
    </row>
    <row r="17" spans="1:9" x14ac:dyDescent="0.25">
      <c r="A17" s="2">
        <v>45095</v>
      </c>
      <c r="B17">
        <f t="shared" si="1"/>
        <v>16</v>
      </c>
      <c r="C17" t="s">
        <v>23</v>
      </c>
      <c r="D17" s="4">
        <v>0.14499999999999999</v>
      </c>
      <c r="E17" s="4">
        <v>0.27600000000000002</v>
      </c>
      <c r="F17" s="4">
        <v>0.30299999999999999</v>
      </c>
      <c r="G17" s="4">
        <v>0.27600000000000002</v>
      </c>
      <c r="H17" s="5">
        <v>76</v>
      </c>
      <c r="I17" s="6">
        <f t="shared" si="0"/>
        <v>0.39073858679848794</v>
      </c>
    </row>
    <row r="18" spans="1:9" x14ac:dyDescent="0.25">
      <c r="A18" s="2">
        <v>45102</v>
      </c>
      <c r="B18">
        <f t="shared" si="1"/>
        <v>17</v>
      </c>
      <c r="C18" t="s">
        <v>24</v>
      </c>
      <c r="D18" s="4">
        <v>0.35299999999999998</v>
      </c>
      <c r="E18" s="4">
        <v>0.248</v>
      </c>
      <c r="F18" s="4">
        <v>0.19600000000000001</v>
      </c>
      <c r="G18" s="4">
        <v>0.20300000000000001</v>
      </c>
      <c r="H18" s="5">
        <v>153</v>
      </c>
      <c r="I18" s="6">
        <f t="shared" si="0"/>
        <v>0.59865016688398498</v>
      </c>
    </row>
    <row r="19" spans="1:9" x14ac:dyDescent="0.25">
      <c r="A19" s="2">
        <v>45109</v>
      </c>
      <c r="B19">
        <f t="shared" si="1"/>
        <v>18</v>
      </c>
      <c r="C19" t="s">
        <v>25</v>
      </c>
      <c r="D19" s="4">
        <v>0.23100000000000001</v>
      </c>
      <c r="E19" s="4">
        <v>0.246</v>
      </c>
      <c r="F19" s="4">
        <v>0.16200000000000001</v>
      </c>
      <c r="G19" s="4">
        <v>0.36199999999999999</v>
      </c>
      <c r="H19" s="5">
        <v>130</v>
      </c>
      <c r="I19" s="6">
        <f t="shared" si="0"/>
        <v>0.55461779599710637</v>
      </c>
    </row>
    <row r="20" spans="1:9" x14ac:dyDescent="0.25">
      <c r="A20" s="2">
        <v>45130</v>
      </c>
      <c r="B20">
        <f t="shared" si="1"/>
        <v>19</v>
      </c>
      <c r="C20" t="s">
        <v>26</v>
      </c>
      <c r="D20" s="4">
        <v>0.32600000000000001</v>
      </c>
      <c r="E20" s="4">
        <v>0.152</v>
      </c>
      <c r="F20" s="4">
        <v>0.23899999999999999</v>
      </c>
      <c r="G20" s="4">
        <v>0.28299999999999997</v>
      </c>
      <c r="H20" s="5">
        <v>92</v>
      </c>
      <c r="I20" s="6">
        <f t="shared" si="0"/>
        <v>0.56091201261294032</v>
      </c>
    </row>
    <row r="21" spans="1:9" x14ac:dyDescent="0.25">
      <c r="A21" s="2">
        <v>45137</v>
      </c>
      <c r="B21">
        <f t="shared" si="1"/>
        <v>20</v>
      </c>
      <c r="C21" t="s">
        <v>27</v>
      </c>
      <c r="D21" s="4">
        <v>0.443</v>
      </c>
      <c r="E21" s="4">
        <v>9.8000000000000004E-2</v>
      </c>
      <c r="F21" s="4">
        <v>9.8000000000000004E-2</v>
      </c>
      <c r="G21" s="4">
        <v>0.36099999999999999</v>
      </c>
      <c r="H21" s="5">
        <v>61</v>
      </c>
      <c r="I21" s="6">
        <f t="shared" si="0"/>
        <v>0.76964519356576633</v>
      </c>
    </row>
    <row r="22" spans="1:9" x14ac:dyDescent="0.25">
      <c r="A22" s="2">
        <v>45144</v>
      </c>
      <c r="B22">
        <f t="shared" si="1"/>
        <v>21</v>
      </c>
      <c r="C22" t="s">
        <v>28</v>
      </c>
      <c r="D22" s="4">
        <v>0.26800000000000002</v>
      </c>
      <c r="E22" s="4">
        <v>0.36599999999999999</v>
      </c>
      <c r="F22" s="4">
        <v>0.17100000000000001</v>
      </c>
      <c r="G22" s="4">
        <v>0.19500000000000001</v>
      </c>
      <c r="H22" s="5">
        <v>41</v>
      </c>
      <c r="I22" s="6">
        <f t="shared" si="0"/>
        <v>0.56052113316164232</v>
      </c>
    </row>
    <row r="23" spans="1:9" x14ac:dyDescent="0.25">
      <c r="A23" s="2">
        <v>45151</v>
      </c>
      <c r="B23">
        <f t="shared" si="1"/>
        <v>22</v>
      </c>
      <c r="C23" t="s">
        <v>29</v>
      </c>
      <c r="D23" s="4">
        <v>0.35599999999999998</v>
      </c>
      <c r="E23" s="4">
        <v>0.219</v>
      </c>
      <c r="F23" s="4">
        <v>0.151</v>
      </c>
      <c r="G23" s="4">
        <v>0.27400000000000002</v>
      </c>
      <c r="H23" s="5">
        <v>73</v>
      </c>
      <c r="I23" s="6">
        <f t="shared" si="0"/>
        <v>0.64153364277897273</v>
      </c>
    </row>
    <row r="24" spans="1:9" x14ac:dyDescent="0.25">
      <c r="A24" s="2">
        <v>45158</v>
      </c>
      <c r="B24">
        <f t="shared" si="1"/>
        <v>23</v>
      </c>
      <c r="C24" t="s">
        <v>30</v>
      </c>
      <c r="D24" s="4">
        <v>8.5999999999999993E-2</v>
      </c>
      <c r="E24" s="4">
        <v>0.17299999999999999</v>
      </c>
      <c r="F24" s="4">
        <v>0.32100000000000001</v>
      </c>
      <c r="G24" s="4">
        <v>0.42</v>
      </c>
      <c r="H24" s="5">
        <v>81</v>
      </c>
      <c r="I24" s="6">
        <f t="shared" si="0"/>
        <v>0.29799914857386117</v>
      </c>
    </row>
    <row r="25" spans="1:9" x14ac:dyDescent="0.25">
      <c r="A25" s="2">
        <v>45172</v>
      </c>
      <c r="B25">
        <f t="shared" si="1"/>
        <v>24</v>
      </c>
      <c r="C25" t="s">
        <v>31</v>
      </c>
      <c r="D25" s="4">
        <v>9.5000000000000001E-2</v>
      </c>
      <c r="E25" s="4">
        <v>0.16700000000000001</v>
      </c>
      <c r="F25" s="4">
        <v>0.26200000000000001</v>
      </c>
      <c r="G25" s="4">
        <v>0.47599999999999998</v>
      </c>
      <c r="H25" s="5">
        <v>42</v>
      </c>
      <c r="I25" s="6">
        <f t="shared" si="0"/>
        <v>0.34078516902944378</v>
      </c>
    </row>
    <row r="26" spans="1:9" x14ac:dyDescent="0.25">
      <c r="A26" s="2">
        <v>45179</v>
      </c>
      <c r="B26">
        <f t="shared" si="1"/>
        <v>25</v>
      </c>
      <c r="C26" t="s">
        <v>32</v>
      </c>
      <c r="D26" s="4">
        <v>1.4999999999999999E-2</v>
      </c>
      <c r="E26" s="4">
        <v>0.03</v>
      </c>
      <c r="F26" s="4">
        <v>0.5</v>
      </c>
      <c r="G26" s="4">
        <v>0.45500000000000002</v>
      </c>
      <c r="H26" s="5">
        <v>66</v>
      </c>
      <c r="I26" s="6">
        <f t="shared" si="0"/>
        <v>5.5601890464275786E-2</v>
      </c>
    </row>
    <row r="27" spans="1:9" x14ac:dyDescent="0.25">
      <c r="A27" s="2">
        <v>45186</v>
      </c>
      <c r="B27">
        <f t="shared" si="1"/>
        <v>26</v>
      </c>
      <c r="C27" t="s">
        <v>33</v>
      </c>
      <c r="D27" s="4">
        <v>1.7999999999999999E-2</v>
      </c>
      <c r="E27" s="4">
        <v>9.0999999999999998E-2</v>
      </c>
      <c r="F27" s="4">
        <v>0.436</v>
      </c>
      <c r="G27" s="4">
        <v>0.45500000000000002</v>
      </c>
      <c r="H27" s="5">
        <v>55</v>
      </c>
      <c r="I27" s="6">
        <f t="shared" si="0"/>
        <v>0.11676396997497918</v>
      </c>
    </row>
    <row r="28" spans="1:9" x14ac:dyDescent="0.25">
      <c r="A28" s="2">
        <v>45193</v>
      </c>
      <c r="B28">
        <f t="shared" si="1"/>
        <v>27</v>
      </c>
      <c r="C28" t="s">
        <v>34</v>
      </c>
      <c r="D28" s="4">
        <v>0.19600000000000001</v>
      </c>
      <c r="E28" s="4">
        <v>0.379</v>
      </c>
      <c r="F28" s="4">
        <v>0.157</v>
      </c>
      <c r="G28" s="4">
        <v>0.26800000000000002</v>
      </c>
      <c r="H28" s="5">
        <v>153</v>
      </c>
      <c r="I28" s="6">
        <f t="shared" si="0"/>
        <v>0.52680452873316908</v>
      </c>
    </row>
    <row r="29" spans="1:9" x14ac:dyDescent="0.25">
      <c r="A29" s="2">
        <v>45200</v>
      </c>
      <c r="B29">
        <f t="shared" si="1"/>
        <v>28</v>
      </c>
      <c r="C29" t="s">
        <v>35</v>
      </c>
      <c r="D29" s="4">
        <v>7.4999999999999997E-2</v>
      </c>
      <c r="E29" s="4">
        <v>0.14899999999999999</v>
      </c>
      <c r="F29" s="4">
        <v>0.41599999999999998</v>
      </c>
      <c r="G29" s="4">
        <v>0.36</v>
      </c>
      <c r="H29" s="5">
        <v>161</v>
      </c>
      <c r="I29" s="6">
        <f t="shared" si="0"/>
        <v>0.23291925465838506</v>
      </c>
    </row>
    <row r="30" spans="1:9" x14ac:dyDescent="0.25">
      <c r="A30" s="2">
        <v>45214</v>
      </c>
      <c r="B30">
        <f t="shared" si="1"/>
        <v>29</v>
      </c>
      <c r="C30" t="s">
        <v>36</v>
      </c>
      <c r="D30" s="4">
        <v>0.28399999999999997</v>
      </c>
      <c r="E30" s="4">
        <v>0.253</v>
      </c>
      <c r="F30" s="4">
        <v>0.16800000000000001</v>
      </c>
      <c r="G30" s="4">
        <v>0.29499999999999998</v>
      </c>
      <c r="H30" s="5">
        <v>95</v>
      </c>
      <c r="I30" s="6">
        <f t="shared" si="0"/>
        <v>0.58230683090705471</v>
      </c>
    </row>
    <row r="31" spans="1:9" x14ac:dyDescent="0.25">
      <c r="A31" s="2">
        <v>45221</v>
      </c>
      <c r="B31">
        <f t="shared" si="1"/>
        <v>30</v>
      </c>
      <c r="C31" t="s">
        <v>37</v>
      </c>
      <c r="D31" s="4">
        <v>0.218</v>
      </c>
      <c r="E31" s="4">
        <v>0.20499999999999999</v>
      </c>
      <c r="F31" s="4">
        <v>0.154</v>
      </c>
      <c r="G31" s="4">
        <v>0.42299999999999999</v>
      </c>
      <c r="H31" s="5">
        <v>78</v>
      </c>
      <c r="I31" s="6">
        <f t="shared" si="0"/>
        <v>0.55548149135670799</v>
      </c>
    </row>
    <row r="32" spans="1:9" x14ac:dyDescent="0.25">
      <c r="A32" s="2">
        <v>45235</v>
      </c>
      <c r="B32">
        <f t="shared" si="1"/>
        <v>31</v>
      </c>
      <c r="C32" s="3" t="s">
        <v>38</v>
      </c>
      <c r="D32" s="4">
        <v>0.41</v>
      </c>
      <c r="E32" s="4">
        <v>0.21</v>
      </c>
      <c r="F32" s="12">
        <v>0.34</v>
      </c>
      <c r="G32" s="4">
        <v>0.03</v>
      </c>
      <c r="H32" s="5">
        <v>29</v>
      </c>
      <c r="I32" s="6">
        <f t="shared" si="0"/>
        <v>0.53323853537148946</v>
      </c>
    </row>
    <row r="33" spans="1:11" x14ac:dyDescent="0.25">
      <c r="A33" s="2">
        <v>45242</v>
      </c>
      <c r="B33">
        <f t="shared" si="1"/>
        <v>32</v>
      </c>
      <c r="C33" s="3" t="s">
        <v>39</v>
      </c>
      <c r="D33" s="4">
        <v>0.1</v>
      </c>
      <c r="E33" s="4">
        <v>0</v>
      </c>
      <c r="F33" s="4">
        <v>0.8</v>
      </c>
      <c r="G33" s="4">
        <v>0.1</v>
      </c>
      <c r="H33" s="5">
        <v>30</v>
      </c>
      <c r="I33" s="6">
        <f t="shared" si="0"/>
        <v>0.1111111111111111</v>
      </c>
    </row>
    <row r="34" spans="1:11" x14ac:dyDescent="0.25">
      <c r="A34" s="2">
        <v>45249</v>
      </c>
      <c r="B34">
        <f t="shared" si="1"/>
        <v>33</v>
      </c>
      <c r="C34" s="3" t="s">
        <v>40</v>
      </c>
      <c r="D34" s="4">
        <v>7.0000000000000007E-2</v>
      </c>
      <c r="E34" s="4">
        <v>0.26</v>
      </c>
      <c r="F34" s="4">
        <v>0.43</v>
      </c>
      <c r="G34" s="4">
        <v>0.23</v>
      </c>
      <c r="H34" s="5">
        <v>107</v>
      </c>
      <c r="I34" s="6">
        <f t="shared" si="0"/>
        <v>0.25488530161427359</v>
      </c>
    </row>
    <row r="35" spans="1:11" x14ac:dyDescent="0.25">
      <c r="A35" s="2">
        <v>45256</v>
      </c>
      <c r="B35">
        <f t="shared" si="1"/>
        <v>34</v>
      </c>
      <c r="C35" t="s">
        <v>41</v>
      </c>
      <c r="D35" s="4">
        <v>0.24199999999999999</v>
      </c>
      <c r="E35" s="4">
        <v>0.22900000000000001</v>
      </c>
      <c r="F35" s="4">
        <v>0.19600000000000001</v>
      </c>
      <c r="G35" s="4">
        <v>0.33300000000000002</v>
      </c>
      <c r="H35" s="5">
        <v>153</v>
      </c>
      <c r="I35" s="6">
        <f t="shared" si="0"/>
        <v>0.53404670213912653</v>
      </c>
    </row>
    <row r="36" spans="1:11" x14ac:dyDescent="0.25">
      <c r="A36" s="2">
        <v>45270</v>
      </c>
      <c r="B36">
        <f t="shared" si="1"/>
        <v>35</v>
      </c>
      <c r="C36" s="3" t="s">
        <v>42</v>
      </c>
      <c r="D36" s="4">
        <v>0.32500000000000001</v>
      </c>
      <c r="E36" s="4">
        <v>0.32500000000000001</v>
      </c>
      <c r="F36" s="4">
        <v>0.1</v>
      </c>
      <c r="G36" s="4">
        <v>0.25</v>
      </c>
      <c r="H36" s="5">
        <v>80</v>
      </c>
      <c r="I36" s="6">
        <f t="shared" si="0"/>
        <v>0.65</v>
      </c>
      <c r="K36" s="2"/>
    </row>
    <row r="37" spans="1:11" x14ac:dyDescent="0.25">
      <c r="A37" s="2">
        <v>45277</v>
      </c>
      <c r="B37">
        <f t="shared" si="1"/>
        <v>36</v>
      </c>
      <c r="C37" s="7" t="s">
        <v>43</v>
      </c>
      <c r="D37" s="4">
        <v>0.47099999999999997</v>
      </c>
      <c r="E37" s="4">
        <v>0.23499999999999999</v>
      </c>
      <c r="F37" s="4">
        <v>9.1999999999999998E-2</v>
      </c>
      <c r="G37" s="4">
        <v>0.20200000000000001</v>
      </c>
      <c r="H37" s="5">
        <v>119</v>
      </c>
      <c r="I37" s="6">
        <f t="shared" si="0"/>
        <v>0.73713696004717677</v>
      </c>
    </row>
    <row r="38" spans="1:11" ht="15.75" x14ac:dyDescent="0.25">
      <c r="A38" s="2">
        <v>45543</v>
      </c>
      <c r="B38">
        <f t="shared" si="1"/>
        <v>37</v>
      </c>
      <c r="C38" t="s">
        <v>44</v>
      </c>
      <c r="D38" s="13" t="s">
        <v>45</v>
      </c>
      <c r="E38" s="13" t="s">
        <v>45</v>
      </c>
      <c r="F38" s="13" t="s">
        <v>45</v>
      </c>
      <c r="G38" s="13" t="s">
        <v>45</v>
      </c>
      <c r="H38" s="13" t="s">
        <v>45</v>
      </c>
      <c r="I38" s="14" t="s">
        <v>45</v>
      </c>
    </row>
    <row r="39" spans="1:11" ht="15.75" x14ac:dyDescent="0.25">
      <c r="A39" s="2">
        <v>45333</v>
      </c>
      <c r="B39">
        <f t="shared" si="1"/>
        <v>38</v>
      </c>
      <c r="C39" s="9" t="s">
        <v>46</v>
      </c>
      <c r="D39" s="4">
        <v>0.66700000000000004</v>
      </c>
      <c r="E39" s="4">
        <v>0.121</v>
      </c>
      <c r="F39" s="4">
        <v>1.4999999999999999E-2</v>
      </c>
      <c r="G39" s="4">
        <v>0.19700000000000001</v>
      </c>
      <c r="H39" s="5">
        <v>66</v>
      </c>
      <c r="I39" s="15">
        <f t="shared" ref="I39:I71" si="2">IF(E39="N/A","N/A",(ROUND(D39*H39,0)*10/($H39*(1-$G39)*10))+(ROUND(E39*H39,0)*5/($H39*(1-$G39)*10)))</f>
        <v>0.90569455451149106</v>
      </c>
    </row>
    <row r="40" spans="1:11" ht="15.75" x14ac:dyDescent="0.25">
      <c r="A40" s="2">
        <v>45508</v>
      </c>
      <c r="B40">
        <f t="shared" si="1"/>
        <v>39</v>
      </c>
      <c r="C40" t="s">
        <v>47</v>
      </c>
      <c r="D40" s="4">
        <v>0.46800000000000003</v>
      </c>
      <c r="E40" s="4">
        <v>9.6000000000000002E-2</v>
      </c>
      <c r="F40" s="4">
        <v>3.2000000000000001E-2</v>
      </c>
      <c r="G40" s="4">
        <v>0.40400000000000003</v>
      </c>
      <c r="H40" s="5">
        <v>94</v>
      </c>
      <c r="I40" s="15">
        <f t="shared" si="2"/>
        <v>0.86570041410823939</v>
      </c>
    </row>
    <row r="41" spans="1:11" ht="15.75" x14ac:dyDescent="0.25">
      <c r="A41" s="2">
        <v>45347</v>
      </c>
      <c r="B41">
        <f t="shared" si="1"/>
        <v>40</v>
      </c>
      <c r="C41" s="9" t="s">
        <v>48</v>
      </c>
      <c r="D41" s="4">
        <v>0.505</v>
      </c>
      <c r="E41" s="4">
        <v>0.253</v>
      </c>
      <c r="F41" s="4">
        <v>2.1000000000000001E-2</v>
      </c>
      <c r="G41" s="4">
        <v>0.221</v>
      </c>
      <c r="H41" s="5">
        <v>95</v>
      </c>
      <c r="I41" s="15">
        <f t="shared" si="2"/>
        <v>0.81075602999797314</v>
      </c>
    </row>
    <row r="42" spans="1:11" ht="15.75" x14ac:dyDescent="0.25">
      <c r="A42" s="2">
        <v>45382</v>
      </c>
      <c r="B42">
        <f t="shared" si="1"/>
        <v>41</v>
      </c>
      <c r="C42" t="s">
        <v>49</v>
      </c>
      <c r="D42" s="4">
        <v>0.52900000000000003</v>
      </c>
      <c r="E42" s="4">
        <v>0.187</v>
      </c>
      <c r="F42" s="4">
        <v>7.6999999999999999E-2</v>
      </c>
      <c r="G42" s="4">
        <v>0.20599999999999999</v>
      </c>
      <c r="H42" s="5">
        <v>155</v>
      </c>
      <c r="I42" s="15">
        <f t="shared" si="2"/>
        <v>0.78410660599658721</v>
      </c>
    </row>
    <row r="43" spans="1:11" ht="15.75" x14ac:dyDescent="0.25">
      <c r="A43" s="2">
        <v>45466</v>
      </c>
      <c r="B43">
        <f t="shared" si="1"/>
        <v>42</v>
      </c>
      <c r="C43" t="s">
        <v>50</v>
      </c>
      <c r="D43" s="4">
        <v>0.34799999999999998</v>
      </c>
      <c r="E43" s="4">
        <v>0.22700000000000001</v>
      </c>
      <c r="F43" s="4">
        <v>6.0999999999999999E-2</v>
      </c>
      <c r="G43" s="4">
        <v>0.36399999999999999</v>
      </c>
      <c r="H43" s="5">
        <v>66</v>
      </c>
      <c r="I43" s="15">
        <f t="shared" si="2"/>
        <v>0.72660567943586818</v>
      </c>
    </row>
    <row r="44" spans="1:11" ht="15.75" x14ac:dyDescent="0.25">
      <c r="A44" s="2">
        <v>45445</v>
      </c>
      <c r="B44">
        <f t="shared" si="1"/>
        <v>43</v>
      </c>
      <c r="C44" t="s">
        <v>51</v>
      </c>
      <c r="D44" s="4">
        <v>0.36699999999999999</v>
      </c>
      <c r="E44" s="4">
        <v>0.17799999999999999</v>
      </c>
      <c r="F44" s="4">
        <v>7.8E-2</v>
      </c>
      <c r="G44" s="4">
        <v>0.378</v>
      </c>
      <c r="H44" s="5">
        <v>80</v>
      </c>
      <c r="I44" s="15">
        <f t="shared" si="2"/>
        <v>0.72347266881028938</v>
      </c>
    </row>
    <row r="45" spans="1:11" ht="15.75" x14ac:dyDescent="0.25">
      <c r="A45" s="2">
        <v>45452</v>
      </c>
      <c r="B45">
        <f t="shared" si="1"/>
        <v>44</v>
      </c>
      <c r="C45" t="s">
        <v>52</v>
      </c>
      <c r="D45" s="4">
        <v>0.315</v>
      </c>
      <c r="E45" s="4">
        <v>0.26</v>
      </c>
      <c r="F45" s="4">
        <v>6.8000000000000005E-2</v>
      </c>
      <c r="G45" s="4">
        <v>0.35599999999999998</v>
      </c>
      <c r="H45" s="5">
        <v>73</v>
      </c>
      <c r="I45" s="15">
        <f t="shared" si="2"/>
        <v>0.69131285629201056</v>
      </c>
    </row>
    <row r="46" spans="1:11" ht="15.75" x14ac:dyDescent="0.25">
      <c r="A46" s="2">
        <v>45403</v>
      </c>
      <c r="B46">
        <f t="shared" si="1"/>
        <v>45</v>
      </c>
      <c r="C46" t="s">
        <v>53</v>
      </c>
      <c r="D46" s="4">
        <v>0.41199999999999998</v>
      </c>
      <c r="E46" s="4">
        <v>0.221</v>
      </c>
      <c r="F46" s="4">
        <v>0.13700000000000001</v>
      </c>
      <c r="G46" s="4">
        <v>0.22900000000000001</v>
      </c>
      <c r="H46" s="5">
        <v>131</v>
      </c>
      <c r="I46" s="15">
        <f t="shared" si="2"/>
        <v>0.67821110682072461</v>
      </c>
    </row>
    <row r="47" spans="1:11" ht="15.75" x14ac:dyDescent="0.25">
      <c r="A47" s="2">
        <v>45627</v>
      </c>
      <c r="B47">
        <f t="shared" si="1"/>
        <v>46</v>
      </c>
      <c r="C47" s="7" t="s">
        <v>54</v>
      </c>
      <c r="D47" s="4">
        <v>0.33</v>
      </c>
      <c r="E47" s="4">
        <v>0.16</v>
      </c>
      <c r="F47" s="4">
        <v>0.11700000000000001</v>
      </c>
      <c r="G47" s="4">
        <v>0.39400000000000002</v>
      </c>
      <c r="H47" s="5">
        <v>94</v>
      </c>
      <c r="I47" s="15">
        <f t="shared" si="2"/>
        <v>0.67586545888631422</v>
      </c>
    </row>
    <row r="48" spans="1:11" ht="15.75" x14ac:dyDescent="0.25">
      <c r="A48" s="2">
        <v>45305</v>
      </c>
      <c r="B48">
        <f t="shared" si="1"/>
        <v>47</v>
      </c>
      <c r="C48" t="s">
        <v>55</v>
      </c>
      <c r="D48" s="4">
        <v>0.33800000000000002</v>
      </c>
      <c r="E48" s="4">
        <v>0.29899999999999999</v>
      </c>
      <c r="F48" s="4">
        <v>0.11700000000000001</v>
      </c>
      <c r="G48" s="4">
        <v>0.247</v>
      </c>
      <c r="H48" s="5">
        <v>77</v>
      </c>
      <c r="I48" s="15">
        <f t="shared" si="2"/>
        <v>0.64676359497076619</v>
      </c>
    </row>
    <row r="49" spans="1:9" ht="15.75" x14ac:dyDescent="0.25">
      <c r="A49" s="2">
        <v>45501</v>
      </c>
      <c r="B49">
        <f t="shared" si="1"/>
        <v>48</v>
      </c>
      <c r="C49" s="3" t="s">
        <v>56</v>
      </c>
      <c r="D49" s="4">
        <v>0.25</v>
      </c>
      <c r="E49" s="4">
        <v>0.25</v>
      </c>
      <c r="F49" s="4">
        <v>0.13300000000000001</v>
      </c>
      <c r="G49" s="4">
        <v>0.36699999999999999</v>
      </c>
      <c r="H49" s="5">
        <v>60</v>
      </c>
      <c r="I49" s="15">
        <f t="shared" si="2"/>
        <v>0.59241706161137431</v>
      </c>
    </row>
    <row r="50" spans="1:9" ht="15.75" x14ac:dyDescent="0.25">
      <c r="A50" s="2">
        <v>45410</v>
      </c>
      <c r="B50">
        <f t="shared" si="1"/>
        <v>49</v>
      </c>
      <c r="C50" t="s">
        <v>57</v>
      </c>
      <c r="D50" s="4">
        <v>0.16700000000000001</v>
      </c>
      <c r="E50" s="4">
        <v>0.21199999999999999</v>
      </c>
      <c r="F50" s="4">
        <v>0.152</v>
      </c>
      <c r="G50" s="4">
        <v>0.47</v>
      </c>
      <c r="H50" s="5">
        <v>66</v>
      </c>
      <c r="I50" s="15">
        <f t="shared" si="2"/>
        <v>0.5145797598627786</v>
      </c>
    </row>
    <row r="51" spans="1:9" ht="15.75" x14ac:dyDescent="0.25">
      <c r="A51" s="2">
        <v>45459</v>
      </c>
      <c r="B51">
        <f t="shared" si="1"/>
        <v>50</v>
      </c>
      <c r="C51" t="s">
        <v>58</v>
      </c>
      <c r="D51" s="4">
        <v>0.218</v>
      </c>
      <c r="E51" s="4">
        <v>0.27300000000000002</v>
      </c>
      <c r="F51" s="4">
        <v>0.2</v>
      </c>
      <c r="G51" s="4">
        <v>0.309</v>
      </c>
      <c r="H51" s="5">
        <v>55</v>
      </c>
      <c r="I51" s="15">
        <f t="shared" si="2"/>
        <v>0.51309038284436259</v>
      </c>
    </row>
    <row r="52" spans="1:9" ht="15.75" x14ac:dyDescent="0.25">
      <c r="A52" s="2">
        <v>45361</v>
      </c>
      <c r="B52">
        <f t="shared" si="1"/>
        <v>51</v>
      </c>
      <c r="C52" t="s">
        <v>59</v>
      </c>
      <c r="D52" s="4">
        <v>0.21299999999999999</v>
      </c>
      <c r="E52" s="4">
        <v>0.18</v>
      </c>
      <c r="F52" s="4">
        <v>0.21299999999999999</v>
      </c>
      <c r="G52" s="4">
        <v>0.39300000000000002</v>
      </c>
      <c r="H52" s="5">
        <v>89</v>
      </c>
      <c r="I52" s="15">
        <f t="shared" si="2"/>
        <v>0.49978712770486644</v>
      </c>
    </row>
    <row r="53" spans="1:9" ht="15.75" x14ac:dyDescent="0.25">
      <c r="A53" s="2">
        <v>45585</v>
      </c>
      <c r="B53">
        <f t="shared" si="1"/>
        <v>52</v>
      </c>
      <c r="C53" t="s">
        <v>60</v>
      </c>
      <c r="D53" s="4">
        <v>0.13</v>
      </c>
      <c r="E53" s="4">
        <v>0.17399999999999999</v>
      </c>
      <c r="F53" s="4">
        <v>0.13</v>
      </c>
      <c r="G53" s="4">
        <v>0.56499999999999995</v>
      </c>
      <c r="H53" s="5">
        <v>46</v>
      </c>
      <c r="I53" s="15">
        <f t="shared" si="2"/>
        <v>0.49975012493753118</v>
      </c>
    </row>
    <row r="54" spans="1:9" ht="15.75" x14ac:dyDescent="0.25">
      <c r="A54" s="2">
        <v>45340</v>
      </c>
      <c r="B54">
        <f t="shared" si="1"/>
        <v>53</v>
      </c>
      <c r="C54" s="9" t="s">
        <v>61</v>
      </c>
      <c r="D54" s="4">
        <v>0.28599999999999998</v>
      </c>
      <c r="E54" s="4">
        <v>0.157</v>
      </c>
      <c r="F54" s="4">
        <v>0.28599999999999998</v>
      </c>
      <c r="G54" s="4">
        <v>0.27100000000000002</v>
      </c>
      <c r="H54" s="5">
        <v>70</v>
      </c>
      <c r="I54" s="15">
        <f t="shared" si="2"/>
        <v>0.49970605526161077</v>
      </c>
    </row>
    <row r="55" spans="1:9" ht="15.75" x14ac:dyDescent="0.25">
      <c r="A55" s="2">
        <v>45396</v>
      </c>
      <c r="B55">
        <f t="shared" si="1"/>
        <v>54</v>
      </c>
      <c r="C55" t="s">
        <v>62</v>
      </c>
      <c r="D55" s="4">
        <v>0.104</v>
      </c>
      <c r="E55" s="4">
        <v>0.23400000000000001</v>
      </c>
      <c r="F55" s="4">
        <v>0.19500000000000001</v>
      </c>
      <c r="G55" s="4">
        <v>0.46800000000000003</v>
      </c>
      <c r="H55" s="5">
        <v>77</v>
      </c>
      <c r="I55" s="15">
        <f t="shared" si="2"/>
        <v>0.41499853529928721</v>
      </c>
    </row>
    <row r="56" spans="1:9" ht="15.75" x14ac:dyDescent="0.25">
      <c r="A56" s="2">
        <v>45494</v>
      </c>
      <c r="B56">
        <f t="shared" si="1"/>
        <v>55</v>
      </c>
      <c r="C56" t="s">
        <v>63</v>
      </c>
      <c r="D56" s="4">
        <v>0.14099999999999999</v>
      </c>
      <c r="E56" s="4">
        <v>0.219</v>
      </c>
      <c r="F56" s="4">
        <v>0.26600000000000001</v>
      </c>
      <c r="G56" s="4">
        <v>0.375</v>
      </c>
      <c r="H56" s="5">
        <v>64</v>
      </c>
      <c r="I56" s="15">
        <f t="shared" si="2"/>
        <v>0.4</v>
      </c>
    </row>
    <row r="57" spans="1:9" ht="15.75" x14ac:dyDescent="0.25">
      <c r="A57" s="2">
        <v>45354</v>
      </c>
      <c r="B57">
        <f t="shared" si="1"/>
        <v>56</v>
      </c>
      <c r="C57" s="3" t="s">
        <v>64</v>
      </c>
      <c r="D57" s="4">
        <v>0.14000000000000001</v>
      </c>
      <c r="E57" s="4">
        <v>0.17499999999999999</v>
      </c>
      <c r="F57" s="4">
        <v>0.28100000000000003</v>
      </c>
      <c r="G57" s="4">
        <v>0.40400000000000003</v>
      </c>
      <c r="H57" s="5">
        <v>114</v>
      </c>
      <c r="I57" s="15">
        <f t="shared" si="2"/>
        <v>0.38266807959496052</v>
      </c>
    </row>
    <row r="58" spans="1:9" ht="15.75" x14ac:dyDescent="0.25">
      <c r="A58" s="2">
        <v>45599</v>
      </c>
      <c r="B58">
        <f t="shared" si="1"/>
        <v>57</v>
      </c>
      <c r="C58" t="s">
        <v>65</v>
      </c>
      <c r="D58" s="4">
        <v>0.109</v>
      </c>
      <c r="E58" s="4">
        <v>0.109</v>
      </c>
      <c r="F58" s="4">
        <v>0.27300000000000002</v>
      </c>
      <c r="G58" s="4">
        <v>0.50900000000000001</v>
      </c>
      <c r="H58" s="5">
        <v>55</v>
      </c>
      <c r="I58" s="15">
        <f t="shared" si="2"/>
        <v>0.33327161636733937</v>
      </c>
    </row>
    <row r="59" spans="1:9" ht="15.75" x14ac:dyDescent="0.25">
      <c r="A59" s="2">
        <v>45389</v>
      </c>
      <c r="B59">
        <f t="shared" si="1"/>
        <v>58</v>
      </c>
      <c r="C59" t="s">
        <v>66</v>
      </c>
      <c r="D59" s="4">
        <v>0.13400000000000001</v>
      </c>
      <c r="E59" s="4">
        <v>0.186</v>
      </c>
      <c r="F59" s="4">
        <v>0.371</v>
      </c>
      <c r="G59" s="4">
        <v>0.309</v>
      </c>
      <c r="H59" s="5">
        <v>97</v>
      </c>
      <c r="I59" s="15">
        <f t="shared" si="2"/>
        <v>0.32822593880078177</v>
      </c>
    </row>
    <row r="60" spans="1:9" ht="15.75" x14ac:dyDescent="0.25">
      <c r="A60" s="2">
        <v>45557</v>
      </c>
      <c r="B60">
        <f t="shared" si="1"/>
        <v>59</v>
      </c>
      <c r="C60" t="s">
        <v>67</v>
      </c>
      <c r="D60" s="4">
        <v>7.5999999999999998E-2</v>
      </c>
      <c r="E60" s="4">
        <v>0.21199999999999999</v>
      </c>
      <c r="F60" s="4">
        <v>0.318</v>
      </c>
      <c r="G60" s="4">
        <v>0.39400000000000002</v>
      </c>
      <c r="H60" s="5">
        <v>66</v>
      </c>
      <c r="I60" s="15">
        <f t="shared" si="2"/>
        <v>0.30003000300030003</v>
      </c>
    </row>
    <row r="61" spans="1:9" ht="15.75" x14ac:dyDescent="0.25">
      <c r="A61" s="2">
        <v>45529</v>
      </c>
      <c r="B61">
        <f t="shared" si="1"/>
        <v>60</v>
      </c>
      <c r="C61" s="3" t="s">
        <v>68</v>
      </c>
      <c r="D61" s="4">
        <v>9.9000000000000005E-2</v>
      </c>
      <c r="E61" s="4">
        <v>0.21099999999999999</v>
      </c>
      <c r="F61" s="4">
        <v>0.40799999999999997</v>
      </c>
      <c r="G61" s="4">
        <v>0.28199999999999997</v>
      </c>
      <c r="H61" s="5">
        <v>71</v>
      </c>
      <c r="I61" s="15">
        <f t="shared" si="2"/>
        <v>0.28443642355525911</v>
      </c>
    </row>
    <row r="62" spans="1:9" ht="15.75" x14ac:dyDescent="0.25">
      <c r="A62" s="2">
        <v>45473</v>
      </c>
      <c r="B62">
        <f t="shared" si="1"/>
        <v>61</v>
      </c>
      <c r="C62" s="3" t="s">
        <v>69</v>
      </c>
      <c r="D62" s="4">
        <v>0.113</v>
      </c>
      <c r="E62" s="4">
        <v>9.4E-2</v>
      </c>
      <c r="F62" s="4">
        <v>0.35799999999999998</v>
      </c>
      <c r="G62" s="4">
        <v>0.434</v>
      </c>
      <c r="H62" s="5">
        <v>106</v>
      </c>
      <c r="I62" s="15">
        <f t="shared" si="2"/>
        <v>0.28335222348156541</v>
      </c>
    </row>
    <row r="63" spans="1:9" ht="15.75" x14ac:dyDescent="0.25">
      <c r="A63" s="2">
        <v>45312</v>
      </c>
      <c r="B63">
        <f t="shared" si="1"/>
        <v>62</v>
      </c>
      <c r="C63" t="s">
        <v>70</v>
      </c>
      <c r="D63" s="4">
        <v>7.4999999999999997E-2</v>
      </c>
      <c r="E63" s="4">
        <v>0.26300000000000001</v>
      </c>
      <c r="F63" s="4">
        <v>0.41299999999999998</v>
      </c>
      <c r="G63" s="4">
        <v>0.25</v>
      </c>
      <c r="H63" s="5">
        <v>80</v>
      </c>
      <c r="I63" s="15">
        <f t="shared" si="2"/>
        <v>0.27500000000000002</v>
      </c>
    </row>
    <row r="64" spans="1:9" ht="15.75" x14ac:dyDescent="0.25">
      <c r="A64" s="2">
        <v>45438</v>
      </c>
      <c r="B64">
        <f t="shared" si="1"/>
        <v>63</v>
      </c>
      <c r="C64" t="s">
        <v>71</v>
      </c>
      <c r="D64" s="4">
        <v>9.0999999999999998E-2</v>
      </c>
      <c r="E64" s="4">
        <v>0.121</v>
      </c>
      <c r="F64" s="4">
        <v>0.34799999999999998</v>
      </c>
      <c r="G64" s="4">
        <v>0.439</v>
      </c>
      <c r="H64" s="5">
        <v>132</v>
      </c>
      <c r="I64" s="15">
        <f t="shared" si="2"/>
        <v>0.27008048398422735</v>
      </c>
    </row>
    <row r="65" spans="1:9" ht="15.75" x14ac:dyDescent="0.25">
      <c r="A65" s="2">
        <v>45319</v>
      </c>
      <c r="B65">
        <f t="shared" si="1"/>
        <v>64</v>
      </c>
      <c r="C65" s="9" t="s">
        <v>72</v>
      </c>
      <c r="D65" s="4">
        <v>6.7000000000000004E-2</v>
      </c>
      <c r="E65" s="4">
        <v>0.13300000000000001</v>
      </c>
      <c r="F65" s="4">
        <v>0.35</v>
      </c>
      <c r="G65" s="4">
        <v>0.45</v>
      </c>
      <c r="H65" s="5">
        <v>60</v>
      </c>
      <c r="I65" s="15">
        <f t="shared" si="2"/>
        <v>0.24242424242424243</v>
      </c>
    </row>
    <row r="66" spans="1:9" ht="15.75" x14ac:dyDescent="0.25">
      <c r="A66" s="2">
        <v>45375</v>
      </c>
      <c r="B66">
        <f t="shared" si="1"/>
        <v>65</v>
      </c>
      <c r="C66" t="s">
        <v>73</v>
      </c>
      <c r="D66" s="4">
        <v>6.3E-2</v>
      </c>
      <c r="E66" s="4">
        <v>0.14799999999999999</v>
      </c>
      <c r="F66" s="4">
        <v>0.39100000000000001</v>
      </c>
      <c r="G66" s="4">
        <v>0.39800000000000002</v>
      </c>
      <c r="H66" s="5">
        <v>128</v>
      </c>
      <c r="I66" s="15">
        <f t="shared" si="2"/>
        <v>0.22710755813953493</v>
      </c>
    </row>
    <row r="67" spans="1:9" ht="15.75" x14ac:dyDescent="0.25">
      <c r="A67" s="2">
        <v>45326</v>
      </c>
      <c r="B67">
        <f t="shared" ref="B67:B82" si="3">IF(B66="Number",1,B66+1)</f>
        <v>66</v>
      </c>
      <c r="C67" t="s">
        <v>74</v>
      </c>
      <c r="D67" s="4">
        <v>4.1000000000000002E-2</v>
      </c>
      <c r="E67" s="4">
        <v>0.123</v>
      </c>
      <c r="F67" s="4">
        <v>0.30099999999999999</v>
      </c>
      <c r="G67" s="4">
        <v>0.53400000000000003</v>
      </c>
      <c r="H67" s="5">
        <v>73</v>
      </c>
      <c r="I67" s="15">
        <f t="shared" si="2"/>
        <v>0.22047151508025165</v>
      </c>
    </row>
    <row r="68" spans="1:9" ht="15.75" x14ac:dyDescent="0.25">
      <c r="A68" s="2">
        <v>45592</v>
      </c>
      <c r="B68">
        <f t="shared" si="3"/>
        <v>67</v>
      </c>
      <c r="C68" t="s">
        <v>75</v>
      </c>
      <c r="D68" s="4">
        <v>5.6000000000000001E-2</v>
      </c>
      <c r="E68" s="4">
        <v>0.125</v>
      </c>
      <c r="F68" s="4">
        <v>0.47199999999999998</v>
      </c>
      <c r="G68" s="4">
        <v>0.34699999999999998</v>
      </c>
      <c r="H68" s="5">
        <v>144</v>
      </c>
      <c r="I68" s="15">
        <f t="shared" si="2"/>
        <v>0.18078951846180019</v>
      </c>
    </row>
    <row r="69" spans="1:9" ht="15.75" x14ac:dyDescent="0.25">
      <c r="A69" s="2">
        <v>45417</v>
      </c>
      <c r="B69">
        <f t="shared" si="3"/>
        <v>68</v>
      </c>
      <c r="C69" t="s">
        <v>76</v>
      </c>
      <c r="D69" s="4">
        <v>4.7E-2</v>
      </c>
      <c r="E69" s="4">
        <v>0.114</v>
      </c>
      <c r="F69" s="4">
        <v>0.45600000000000002</v>
      </c>
      <c r="G69" s="4">
        <v>0.38300000000000001</v>
      </c>
      <c r="H69" s="5">
        <v>149</v>
      </c>
      <c r="I69" s="15">
        <f t="shared" si="2"/>
        <v>0.16860104641423646</v>
      </c>
    </row>
    <row r="70" spans="1:9" ht="15.75" x14ac:dyDescent="0.25">
      <c r="A70" s="2">
        <v>45424</v>
      </c>
      <c r="B70">
        <f t="shared" si="3"/>
        <v>69</v>
      </c>
      <c r="C70" t="s">
        <v>77</v>
      </c>
      <c r="D70" s="4">
        <v>3.9E-2</v>
      </c>
      <c r="E70" s="4">
        <v>5.6000000000000001E-2</v>
      </c>
      <c r="F70" s="4">
        <v>0.46600000000000003</v>
      </c>
      <c r="G70" s="4">
        <v>0.438</v>
      </c>
      <c r="H70" s="5">
        <v>178</v>
      </c>
      <c r="I70" s="15">
        <f t="shared" si="2"/>
        <v>0.11995681554640328</v>
      </c>
    </row>
    <row r="71" spans="1:9" ht="15.75" x14ac:dyDescent="0.25">
      <c r="A71" s="2">
        <v>45648</v>
      </c>
      <c r="B71">
        <f t="shared" si="3"/>
        <v>70</v>
      </c>
      <c r="C71" s="7" t="s">
        <v>78</v>
      </c>
      <c r="D71" s="13">
        <v>0.3</v>
      </c>
      <c r="E71" s="4">
        <v>0.25800000000000001</v>
      </c>
      <c r="F71" s="4">
        <v>0.23300000000000001</v>
      </c>
      <c r="G71" s="4">
        <v>0.20799999999999999</v>
      </c>
      <c r="H71">
        <v>120</v>
      </c>
      <c r="I71" s="15">
        <f t="shared" si="2"/>
        <v>0.54187710437710424</v>
      </c>
    </row>
    <row r="72" spans="1:9" ht="15.75" x14ac:dyDescent="0.25">
      <c r="A72" s="2">
        <f>INDEX('NFC All time'!D:D,MATCH(C72,'NFC All time'!C:C,0))</f>
        <v>45732</v>
      </c>
      <c r="B72">
        <f t="shared" si="3"/>
        <v>71</v>
      </c>
      <c r="C72" t="s">
        <v>79</v>
      </c>
      <c r="H72" s="5"/>
      <c r="I72" s="16" t="str">
        <f>IFERROR(IF(E72="N/A","N/A",(ROUND(D72*H72,0)*10/($H72*(1-$G72)*10))+(ROUND(E72*H72,0)*5/($H72*(1-$G72)*10))),"Mr C Forgot")</f>
        <v>Mr C Forgot</v>
      </c>
    </row>
    <row r="73" spans="1:9" ht="15.75" x14ac:dyDescent="0.25">
      <c r="A73" s="2">
        <f>INDEX('NFC All time'!D:D,MATCH(C73,'NFC All time'!C:C,0))</f>
        <v>45739</v>
      </c>
      <c r="B73">
        <f t="shared" si="3"/>
        <v>72</v>
      </c>
      <c r="C73" t="s">
        <v>80</v>
      </c>
      <c r="H73" s="5"/>
      <c r="I73" s="16" t="str">
        <f t="shared" ref="I73:I82" si="4">IFERROR(IF(E73="N/A","N/A",(ROUND(D73*H73,0)*10/($H73*(1-$G73)*10))+(ROUND(E73*H73,0)*5/($H73*(1-$G73)*10))),"Mr C Forgot")</f>
        <v>Mr C Forgot</v>
      </c>
    </row>
    <row r="74" spans="1:9" ht="15.75" x14ac:dyDescent="0.25">
      <c r="A74" s="2">
        <f>INDEX('NFC All time'!D:D,MATCH(C74,'NFC All time'!C:C,0))</f>
        <v>45774</v>
      </c>
      <c r="B74">
        <f t="shared" si="3"/>
        <v>73</v>
      </c>
      <c r="C74" t="s">
        <v>81</v>
      </c>
      <c r="D74" s="4">
        <v>0.112</v>
      </c>
      <c r="E74" s="4">
        <v>0.20300000000000001</v>
      </c>
      <c r="F74" s="4">
        <v>0.42</v>
      </c>
      <c r="G74" s="4">
        <v>0.26600000000000001</v>
      </c>
      <c r="H74" s="5">
        <v>143</v>
      </c>
      <c r="I74" s="16">
        <f t="shared" si="4"/>
        <v>0.29058135325165296</v>
      </c>
    </row>
    <row r="75" spans="1:9" ht="15.75" x14ac:dyDescent="0.25">
      <c r="A75" s="2">
        <f>INDEX('NFC All time'!D:D,MATCH(C75,'NFC All time'!C:C,0))</f>
        <v>45781</v>
      </c>
      <c r="B75">
        <f t="shared" si="3"/>
        <v>74</v>
      </c>
      <c r="C75" t="s">
        <v>82</v>
      </c>
      <c r="H75" s="5"/>
      <c r="I75" s="16" t="str">
        <f t="shared" si="4"/>
        <v>Mr C Forgot</v>
      </c>
    </row>
    <row r="76" spans="1:9" ht="15.75" x14ac:dyDescent="0.25">
      <c r="A76" s="2">
        <f>INDEX('NFC All time'!D:D,MATCH(C76,'NFC All time'!C:C,0))</f>
        <v>45788</v>
      </c>
      <c r="B76">
        <f t="shared" si="3"/>
        <v>75</v>
      </c>
      <c r="C76" t="s">
        <v>83</v>
      </c>
      <c r="D76" s="4">
        <v>0.11899999999999999</v>
      </c>
      <c r="E76" s="4">
        <v>0.11899999999999999</v>
      </c>
      <c r="F76" s="4">
        <v>0.34300000000000003</v>
      </c>
      <c r="G76" s="4">
        <v>0.41799999999999998</v>
      </c>
      <c r="H76" s="5">
        <v>67</v>
      </c>
      <c r="I76" s="16">
        <f t="shared" si="4"/>
        <v>0.30773965225419292</v>
      </c>
    </row>
    <row r="77" spans="1:9" ht="15.75" x14ac:dyDescent="0.25">
      <c r="A77" s="2">
        <f>INDEX('NFC All time'!D:D,MATCH(C77,'NFC All time'!C:C,0))</f>
        <v>45809</v>
      </c>
      <c r="B77">
        <f t="shared" si="3"/>
        <v>76</v>
      </c>
      <c r="C77" t="s">
        <v>84</v>
      </c>
      <c r="H77" s="5"/>
      <c r="I77" s="16" t="str">
        <f t="shared" si="4"/>
        <v>Mr C Forgot</v>
      </c>
    </row>
    <row r="78" spans="1:9" ht="15.75" x14ac:dyDescent="0.25">
      <c r="A78" s="2">
        <f>INDEX('NFC All time'!D:D,MATCH(C78,'NFC All time'!C:C,0))</f>
        <v>45816</v>
      </c>
      <c r="B78">
        <f t="shared" si="3"/>
        <v>77</v>
      </c>
      <c r="C78" t="s">
        <v>85</v>
      </c>
      <c r="D78" s="4">
        <v>0.182</v>
      </c>
      <c r="E78" s="4">
        <v>0.19700000000000001</v>
      </c>
      <c r="F78" s="4">
        <v>0.19700000000000001</v>
      </c>
      <c r="G78" s="4">
        <v>0.42399999999999999</v>
      </c>
      <c r="H78" s="5">
        <v>66</v>
      </c>
      <c r="I78" s="16">
        <f t="shared" si="4"/>
        <v>0.48663720538720528</v>
      </c>
    </row>
    <row r="79" spans="1:9" ht="15.75" x14ac:dyDescent="0.25">
      <c r="A79" s="2">
        <f>INDEX('NFC All time'!D:D,MATCH(C79,'NFC All time'!C:C,0))</f>
        <v>45830</v>
      </c>
      <c r="B79">
        <f t="shared" si="3"/>
        <v>78</v>
      </c>
      <c r="C79" t="s">
        <v>86</v>
      </c>
      <c r="D79" s="4">
        <v>9.7000000000000003E-2</v>
      </c>
      <c r="E79" s="4">
        <v>0.32300000000000001</v>
      </c>
      <c r="F79" s="4">
        <v>0.161</v>
      </c>
      <c r="G79" s="4">
        <v>0.41899999999999998</v>
      </c>
      <c r="H79" s="5">
        <v>62</v>
      </c>
      <c r="I79" s="16">
        <f t="shared" si="4"/>
        <v>0.44417300538559773</v>
      </c>
    </row>
    <row r="80" spans="1:9" ht="15.75" x14ac:dyDescent="0.25">
      <c r="A80" s="2">
        <f>INDEX('NFC All time'!D:D,MATCH(C80,'NFC All time'!C:C,0))</f>
        <v>45837</v>
      </c>
      <c r="B80">
        <f t="shared" si="3"/>
        <v>79</v>
      </c>
      <c r="C80" t="s">
        <v>87</v>
      </c>
      <c r="D80" s="4">
        <v>0.14799999999999999</v>
      </c>
      <c r="E80" s="4">
        <v>0.25</v>
      </c>
      <c r="F80" s="4">
        <v>0.26900000000000002</v>
      </c>
      <c r="G80" s="4">
        <v>0.33300000000000002</v>
      </c>
      <c r="H80" s="5">
        <v>108</v>
      </c>
      <c r="I80" s="16">
        <f t="shared" si="4"/>
        <v>0.40951746349047696</v>
      </c>
    </row>
    <row r="81" spans="1:9" ht="15.75" x14ac:dyDescent="0.25">
      <c r="A81" s="2">
        <f>INDEX('NFC All time'!D:D,MATCH(C81,'NFC All time'!C:C,0))</f>
        <v>45851</v>
      </c>
      <c r="B81">
        <f t="shared" si="3"/>
        <v>80</v>
      </c>
      <c r="C81" t="s">
        <v>88</v>
      </c>
      <c r="H81" s="5"/>
      <c r="I81" s="16" t="str">
        <f t="shared" si="4"/>
        <v>Mr C Forgot</v>
      </c>
    </row>
    <row r="82" spans="1:9" ht="15.75" x14ac:dyDescent="0.25">
      <c r="A82" s="2">
        <f>INDEX('NFC All time'!D:D,MATCH(C82,'NFC All time'!C:C,0))</f>
        <v>45858</v>
      </c>
      <c r="B82">
        <f t="shared" si="3"/>
        <v>81</v>
      </c>
      <c r="C82" s="17" t="s">
        <v>89</v>
      </c>
      <c r="D82" s="4">
        <v>0.374</v>
      </c>
      <c r="E82" s="4">
        <v>0.26300000000000001</v>
      </c>
      <c r="F82" s="4">
        <v>0.182</v>
      </c>
      <c r="G82" s="4">
        <v>0.182</v>
      </c>
      <c r="H82" s="5">
        <v>99</v>
      </c>
      <c r="I82" s="16">
        <f t="shared" si="4"/>
        <v>0.61742115531846586</v>
      </c>
    </row>
    <row r="105" spans="3:3" x14ac:dyDescent="0.25">
      <c r="C105" s="7"/>
    </row>
    <row r="106" spans="3:3" x14ac:dyDescent="0.25">
      <c r="C106" s="7"/>
    </row>
  </sheetData>
  <autoFilter ref="A1:I71" xr:uid="{7E030D50-6CA8-45B6-863E-9FDB3CAC7F2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16EC-3944-4326-B370-2BFA1315BAF5}">
  <dimension ref="A1:I257"/>
  <sheetViews>
    <sheetView zoomScale="55" zoomScaleNormal="55" workbookViewId="0">
      <pane ySplit="1" topLeftCell="A26" activePane="bottomLeft" state="frozen"/>
      <selection activeCell="M73" sqref="M73"/>
      <selection pane="bottomLeft" activeCell="M73" sqref="M73"/>
    </sheetView>
  </sheetViews>
  <sheetFormatPr defaultRowHeight="15" x14ac:dyDescent="0.25"/>
  <cols>
    <col min="1" max="1" width="9.140625" style="20" customWidth="1"/>
    <col min="2" max="2" width="7.5703125" style="20" customWidth="1"/>
    <col min="3" max="3" width="65.28515625" customWidth="1"/>
    <col min="4" max="4" width="11.85546875" customWidth="1"/>
    <col min="5" max="5" width="8.85546875" bestFit="1" customWidth="1"/>
  </cols>
  <sheetData>
    <row r="1" spans="1:9" ht="32.1" customHeight="1" x14ac:dyDescent="0.25">
      <c r="A1" s="18" t="s">
        <v>90</v>
      </c>
      <c r="B1" s="18" t="s">
        <v>91</v>
      </c>
      <c r="C1" s="19" t="s">
        <v>92</v>
      </c>
      <c r="D1" s="19" t="s">
        <v>0</v>
      </c>
      <c r="E1" s="19" t="s">
        <v>93</v>
      </c>
    </row>
    <row r="2" spans="1:9" x14ac:dyDescent="0.25">
      <c r="A2" s="20">
        <v>1</v>
      </c>
      <c r="B2" s="20">
        <f>IFERROR(IF(G2&lt;&gt;"NFC",B1,
IF(D2=D1,B1,IF(YEAR(D2)&lt;&gt;YEAR(D1),1,B1+1))),1)</f>
        <v>1</v>
      </c>
      <c r="C2" t="s">
        <v>94</v>
      </c>
      <c r="D2" s="2">
        <v>44318</v>
      </c>
      <c r="G2" t="s">
        <v>95</v>
      </c>
    </row>
    <row r="3" spans="1:9" x14ac:dyDescent="0.25">
      <c r="A3" s="20">
        <f>IF(G3&lt;&gt;"NFC",A2,IF(D3=D2,A2,A2+1))</f>
        <v>2</v>
      </c>
      <c r="B3" s="20">
        <f t="shared" ref="B3:B66" si="0">IFERROR(IF(G3&lt;&gt;"NFC",B2,
IF(D3=D2,B2,IF(YEAR(D3)&lt;&gt;YEAR(D2),1,B2+1))),1)</f>
        <v>2</v>
      </c>
      <c r="C3" t="s">
        <v>96</v>
      </c>
      <c r="D3" s="2">
        <v>44325</v>
      </c>
      <c r="F3">
        <f>A3-A2</f>
        <v>1</v>
      </c>
      <c r="G3" t="s">
        <v>95</v>
      </c>
    </row>
    <row r="4" spans="1:9" x14ac:dyDescent="0.25">
      <c r="A4" s="20">
        <f t="shared" ref="A4:A67" si="1">IF(G4&lt;&gt;"NFC",A3,IF(D4=D3,A3,A3+1))</f>
        <v>3</v>
      </c>
      <c r="B4" s="20">
        <f t="shared" si="0"/>
        <v>3</v>
      </c>
      <c r="C4" t="s">
        <v>97</v>
      </c>
      <c r="D4" s="2">
        <v>44332</v>
      </c>
      <c r="F4">
        <f t="shared" ref="F4:F14" si="2">A4-A3</f>
        <v>1</v>
      </c>
      <c r="G4" t="s">
        <v>95</v>
      </c>
    </row>
    <row r="5" spans="1:9" x14ac:dyDescent="0.25">
      <c r="A5" s="20">
        <f t="shared" si="1"/>
        <v>4</v>
      </c>
      <c r="B5" s="20">
        <f t="shared" si="0"/>
        <v>4</v>
      </c>
      <c r="C5" t="s">
        <v>98</v>
      </c>
      <c r="D5" s="2">
        <v>44339</v>
      </c>
      <c r="F5">
        <f t="shared" si="2"/>
        <v>1</v>
      </c>
      <c r="G5" t="s">
        <v>95</v>
      </c>
    </row>
    <row r="6" spans="1:9" x14ac:dyDescent="0.25">
      <c r="A6" s="20">
        <f t="shared" si="1"/>
        <v>5</v>
      </c>
      <c r="B6" s="20">
        <f t="shared" si="0"/>
        <v>5</v>
      </c>
      <c r="C6" t="s">
        <v>99</v>
      </c>
      <c r="D6" s="2">
        <v>44353</v>
      </c>
      <c r="F6">
        <f t="shared" si="2"/>
        <v>1</v>
      </c>
      <c r="G6" t="s">
        <v>95</v>
      </c>
    </row>
    <row r="7" spans="1:9" x14ac:dyDescent="0.25">
      <c r="A7" s="20">
        <f t="shared" si="1"/>
        <v>6</v>
      </c>
      <c r="B7" s="20">
        <f t="shared" si="0"/>
        <v>6</v>
      </c>
      <c r="C7" t="s">
        <v>100</v>
      </c>
      <c r="D7" s="2">
        <v>44388</v>
      </c>
      <c r="F7">
        <f t="shared" si="2"/>
        <v>1</v>
      </c>
      <c r="G7" t="s">
        <v>95</v>
      </c>
    </row>
    <row r="8" spans="1:9" x14ac:dyDescent="0.25">
      <c r="A8" s="20">
        <f t="shared" si="1"/>
        <v>7</v>
      </c>
      <c r="B8" s="20">
        <f t="shared" si="0"/>
        <v>7</v>
      </c>
      <c r="C8" t="s">
        <v>101</v>
      </c>
      <c r="D8" s="2">
        <v>44395</v>
      </c>
      <c r="F8">
        <f t="shared" si="2"/>
        <v>1</v>
      </c>
      <c r="G8" t="s">
        <v>95</v>
      </c>
    </row>
    <row r="9" spans="1:9" x14ac:dyDescent="0.25">
      <c r="A9" s="20">
        <f t="shared" si="1"/>
        <v>8</v>
      </c>
      <c r="B9" s="20">
        <f t="shared" si="0"/>
        <v>8</v>
      </c>
      <c r="C9" t="s">
        <v>102</v>
      </c>
      <c r="D9" s="2">
        <v>44409</v>
      </c>
      <c r="F9">
        <f t="shared" si="2"/>
        <v>1</v>
      </c>
      <c r="G9" t="s">
        <v>95</v>
      </c>
    </row>
    <row r="10" spans="1:9" x14ac:dyDescent="0.25">
      <c r="A10" s="20">
        <f t="shared" si="1"/>
        <v>9</v>
      </c>
      <c r="B10" s="20">
        <f t="shared" si="0"/>
        <v>9</v>
      </c>
      <c r="C10" t="s">
        <v>103</v>
      </c>
      <c r="D10" s="2">
        <v>44416</v>
      </c>
      <c r="F10">
        <f t="shared" si="2"/>
        <v>1</v>
      </c>
      <c r="G10" t="s">
        <v>95</v>
      </c>
    </row>
    <row r="11" spans="1:9" x14ac:dyDescent="0.25">
      <c r="A11" s="20">
        <f t="shared" si="1"/>
        <v>10</v>
      </c>
      <c r="B11" s="20">
        <f t="shared" si="0"/>
        <v>10</v>
      </c>
      <c r="C11" t="s">
        <v>104</v>
      </c>
      <c r="D11" s="2">
        <v>44430</v>
      </c>
      <c r="F11">
        <f t="shared" si="2"/>
        <v>1</v>
      </c>
      <c r="G11" t="s">
        <v>95</v>
      </c>
    </row>
    <row r="12" spans="1:9" x14ac:dyDescent="0.25">
      <c r="A12" s="20">
        <f t="shared" si="1"/>
        <v>11</v>
      </c>
      <c r="B12" s="20">
        <f t="shared" si="0"/>
        <v>11</v>
      </c>
      <c r="C12" t="s">
        <v>105</v>
      </c>
      <c r="D12" s="2">
        <v>44437</v>
      </c>
      <c r="F12">
        <f t="shared" si="2"/>
        <v>1</v>
      </c>
      <c r="G12" t="s">
        <v>95</v>
      </c>
      <c r="I12" s="21"/>
    </row>
    <row r="13" spans="1:9" x14ac:dyDescent="0.25">
      <c r="A13" s="20">
        <f t="shared" si="1"/>
        <v>12</v>
      </c>
      <c r="B13" s="20">
        <f t="shared" si="0"/>
        <v>12</v>
      </c>
      <c r="C13" t="s">
        <v>106</v>
      </c>
      <c r="D13" s="2">
        <v>44451</v>
      </c>
      <c r="F13">
        <f t="shared" si="2"/>
        <v>1</v>
      </c>
      <c r="G13" t="s">
        <v>95</v>
      </c>
    </row>
    <row r="14" spans="1:9" x14ac:dyDescent="0.25">
      <c r="A14" s="20">
        <f t="shared" si="1"/>
        <v>13</v>
      </c>
      <c r="B14" s="20">
        <f t="shared" si="0"/>
        <v>13</v>
      </c>
      <c r="C14" t="s">
        <v>107</v>
      </c>
      <c r="D14" s="2">
        <v>44465</v>
      </c>
      <c r="F14">
        <f t="shared" si="2"/>
        <v>1</v>
      </c>
      <c r="G14" t="s">
        <v>95</v>
      </c>
    </row>
    <row r="15" spans="1:9" x14ac:dyDescent="0.25">
      <c r="A15" s="20">
        <f t="shared" si="1"/>
        <v>14</v>
      </c>
      <c r="B15" s="20">
        <f t="shared" si="0"/>
        <v>14</v>
      </c>
      <c r="C15" t="s">
        <v>108</v>
      </c>
      <c r="D15" s="2">
        <v>44479</v>
      </c>
      <c r="F15">
        <f t="shared" ref="F15:F43" si="3">E16-E15</f>
        <v>0</v>
      </c>
      <c r="G15" t="s">
        <v>95</v>
      </c>
    </row>
    <row r="16" spans="1:9" x14ac:dyDescent="0.25">
      <c r="A16" s="20">
        <f t="shared" si="1"/>
        <v>15</v>
      </c>
      <c r="B16" s="20">
        <f t="shared" si="0"/>
        <v>15</v>
      </c>
      <c r="C16" t="s">
        <v>109</v>
      </c>
      <c r="D16" s="2">
        <v>44493</v>
      </c>
      <c r="F16">
        <f t="shared" si="3"/>
        <v>0</v>
      </c>
      <c r="G16" t="s">
        <v>95</v>
      </c>
    </row>
    <row r="17" spans="1:7" x14ac:dyDescent="0.25">
      <c r="A17" s="20">
        <f t="shared" si="1"/>
        <v>16</v>
      </c>
      <c r="B17" s="20">
        <f t="shared" si="0"/>
        <v>16</v>
      </c>
      <c r="C17" t="s">
        <v>110</v>
      </c>
      <c r="D17" s="2">
        <v>44507</v>
      </c>
      <c r="F17">
        <f t="shared" si="3"/>
        <v>0</v>
      </c>
      <c r="G17" t="s">
        <v>95</v>
      </c>
    </row>
    <row r="18" spans="1:7" x14ac:dyDescent="0.25">
      <c r="A18" s="20">
        <f t="shared" si="1"/>
        <v>17</v>
      </c>
      <c r="B18" s="20">
        <f t="shared" si="0"/>
        <v>17</v>
      </c>
      <c r="C18" t="s">
        <v>111</v>
      </c>
      <c r="D18" s="2">
        <v>44521</v>
      </c>
      <c r="F18">
        <f t="shared" si="3"/>
        <v>0</v>
      </c>
      <c r="G18" t="s">
        <v>95</v>
      </c>
    </row>
    <row r="19" spans="1:7" x14ac:dyDescent="0.25">
      <c r="A19" s="20">
        <f t="shared" si="1"/>
        <v>18</v>
      </c>
      <c r="B19" s="20">
        <f t="shared" si="0"/>
        <v>18</v>
      </c>
      <c r="C19" t="s">
        <v>112</v>
      </c>
      <c r="D19" s="2">
        <v>44535</v>
      </c>
      <c r="F19">
        <f t="shared" si="3"/>
        <v>0</v>
      </c>
      <c r="G19" t="s">
        <v>95</v>
      </c>
    </row>
    <row r="20" spans="1:7" x14ac:dyDescent="0.25">
      <c r="A20" s="20">
        <f t="shared" si="1"/>
        <v>19</v>
      </c>
      <c r="B20" s="20">
        <f t="shared" si="0"/>
        <v>19</v>
      </c>
      <c r="C20" t="s">
        <v>113</v>
      </c>
      <c r="D20" s="2">
        <v>44549</v>
      </c>
      <c r="F20">
        <f t="shared" si="3"/>
        <v>0</v>
      </c>
      <c r="G20" t="s">
        <v>95</v>
      </c>
    </row>
    <row r="21" spans="1:7" x14ac:dyDescent="0.25">
      <c r="A21" s="20">
        <f t="shared" si="1"/>
        <v>20</v>
      </c>
      <c r="B21" s="20">
        <f t="shared" si="0"/>
        <v>1</v>
      </c>
      <c r="C21" t="s">
        <v>114</v>
      </c>
      <c r="D21" s="2">
        <v>44570</v>
      </c>
      <c r="F21">
        <f t="shared" si="3"/>
        <v>0</v>
      </c>
      <c r="G21" t="s">
        <v>95</v>
      </c>
    </row>
    <row r="22" spans="1:7" x14ac:dyDescent="0.25">
      <c r="A22" s="20">
        <f t="shared" si="1"/>
        <v>21</v>
      </c>
      <c r="B22" s="20">
        <f t="shared" si="0"/>
        <v>2</v>
      </c>
      <c r="C22" t="s">
        <v>115</v>
      </c>
      <c r="D22" s="2">
        <v>44584</v>
      </c>
      <c r="F22">
        <f t="shared" si="3"/>
        <v>0</v>
      </c>
      <c r="G22" t="s">
        <v>95</v>
      </c>
    </row>
    <row r="23" spans="1:7" x14ac:dyDescent="0.25">
      <c r="A23" s="20">
        <f t="shared" si="1"/>
        <v>22</v>
      </c>
      <c r="B23" s="20">
        <f t="shared" si="0"/>
        <v>3</v>
      </c>
      <c r="C23" t="s">
        <v>116</v>
      </c>
      <c r="D23" s="2">
        <v>44598</v>
      </c>
      <c r="F23">
        <f t="shared" si="3"/>
        <v>0</v>
      </c>
      <c r="G23" t="s">
        <v>95</v>
      </c>
    </row>
    <row r="24" spans="1:7" x14ac:dyDescent="0.25">
      <c r="A24" s="20">
        <f t="shared" si="1"/>
        <v>23</v>
      </c>
      <c r="B24" s="20">
        <f t="shared" si="0"/>
        <v>4</v>
      </c>
      <c r="C24" t="s">
        <v>117</v>
      </c>
      <c r="D24" s="2">
        <v>44605</v>
      </c>
      <c r="F24">
        <f t="shared" si="3"/>
        <v>0</v>
      </c>
      <c r="G24" t="s">
        <v>95</v>
      </c>
    </row>
    <row r="25" spans="1:7" x14ac:dyDescent="0.25">
      <c r="A25" s="20">
        <f t="shared" si="1"/>
        <v>24</v>
      </c>
      <c r="B25" s="20">
        <f t="shared" si="0"/>
        <v>5</v>
      </c>
      <c r="C25" t="s">
        <v>118</v>
      </c>
      <c r="D25" s="2">
        <v>44612</v>
      </c>
      <c r="F25">
        <f t="shared" si="3"/>
        <v>0</v>
      </c>
      <c r="G25" t="s">
        <v>95</v>
      </c>
    </row>
    <row r="26" spans="1:7" x14ac:dyDescent="0.25">
      <c r="A26" s="20">
        <f t="shared" si="1"/>
        <v>25</v>
      </c>
      <c r="B26" s="20">
        <f t="shared" si="0"/>
        <v>6</v>
      </c>
      <c r="C26" t="s">
        <v>119</v>
      </c>
      <c r="D26" s="2">
        <v>44619</v>
      </c>
      <c r="F26">
        <f t="shared" si="3"/>
        <v>0</v>
      </c>
      <c r="G26" t="s">
        <v>95</v>
      </c>
    </row>
    <row r="27" spans="1:7" x14ac:dyDescent="0.25">
      <c r="A27" s="20">
        <f t="shared" si="1"/>
        <v>26</v>
      </c>
      <c r="B27" s="20">
        <f t="shared" si="0"/>
        <v>7</v>
      </c>
      <c r="C27" t="s">
        <v>120</v>
      </c>
      <c r="D27" s="2">
        <v>44626</v>
      </c>
      <c r="F27">
        <f t="shared" si="3"/>
        <v>0</v>
      </c>
      <c r="G27" t="s">
        <v>95</v>
      </c>
    </row>
    <row r="28" spans="1:7" x14ac:dyDescent="0.25">
      <c r="A28" s="20">
        <f t="shared" si="1"/>
        <v>27</v>
      </c>
      <c r="B28" s="20">
        <f t="shared" si="0"/>
        <v>8</v>
      </c>
      <c r="C28" t="s">
        <v>98</v>
      </c>
      <c r="D28" s="2">
        <v>44633</v>
      </c>
      <c r="F28">
        <f t="shared" si="3"/>
        <v>0</v>
      </c>
      <c r="G28" t="s">
        <v>95</v>
      </c>
    </row>
    <row r="29" spans="1:7" x14ac:dyDescent="0.25">
      <c r="A29" s="20">
        <f t="shared" si="1"/>
        <v>28</v>
      </c>
      <c r="B29" s="20">
        <f t="shared" si="0"/>
        <v>9</v>
      </c>
      <c r="C29" t="s">
        <v>121</v>
      </c>
      <c r="D29" s="2">
        <v>44640</v>
      </c>
      <c r="F29">
        <f t="shared" si="3"/>
        <v>0</v>
      </c>
      <c r="G29" t="s">
        <v>95</v>
      </c>
    </row>
    <row r="30" spans="1:7" x14ac:dyDescent="0.25">
      <c r="A30" s="20">
        <f t="shared" si="1"/>
        <v>29</v>
      </c>
      <c r="B30" s="20">
        <f t="shared" si="0"/>
        <v>10</v>
      </c>
      <c r="C30" t="s">
        <v>122</v>
      </c>
      <c r="D30" s="2">
        <v>44647</v>
      </c>
      <c r="F30">
        <f t="shared" si="3"/>
        <v>0</v>
      </c>
      <c r="G30" t="s">
        <v>95</v>
      </c>
    </row>
    <row r="31" spans="1:7" x14ac:dyDescent="0.25">
      <c r="A31" s="20">
        <f t="shared" si="1"/>
        <v>30</v>
      </c>
      <c r="B31" s="20">
        <f t="shared" si="0"/>
        <v>11</v>
      </c>
      <c r="C31" t="s">
        <v>123</v>
      </c>
      <c r="D31" s="2">
        <v>44654</v>
      </c>
      <c r="F31">
        <f t="shared" si="3"/>
        <v>0</v>
      </c>
      <c r="G31" t="s">
        <v>95</v>
      </c>
    </row>
    <row r="32" spans="1:7" x14ac:dyDescent="0.25">
      <c r="A32" s="20">
        <f t="shared" si="1"/>
        <v>31</v>
      </c>
      <c r="B32" s="20">
        <f t="shared" si="0"/>
        <v>12</v>
      </c>
      <c r="C32" t="s">
        <v>124</v>
      </c>
      <c r="D32" s="2">
        <v>44668</v>
      </c>
      <c r="F32">
        <f t="shared" si="3"/>
        <v>0</v>
      </c>
      <c r="G32" t="s">
        <v>95</v>
      </c>
    </row>
    <row r="33" spans="1:7" x14ac:dyDescent="0.25">
      <c r="A33" s="20">
        <f t="shared" si="1"/>
        <v>32</v>
      </c>
      <c r="B33" s="20">
        <f t="shared" si="0"/>
        <v>13</v>
      </c>
      <c r="C33" t="s">
        <v>125</v>
      </c>
      <c r="D33" s="2">
        <v>44675</v>
      </c>
      <c r="F33">
        <f t="shared" si="3"/>
        <v>0</v>
      </c>
      <c r="G33" t="s">
        <v>95</v>
      </c>
    </row>
    <row r="34" spans="1:7" x14ac:dyDescent="0.25">
      <c r="A34" s="20">
        <f t="shared" si="1"/>
        <v>33</v>
      </c>
      <c r="B34" s="20">
        <f t="shared" si="0"/>
        <v>14</v>
      </c>
      <c r="C34" t="s">
        <v>126</v>
      </c>
      <c r="D34" s="2">
        <v>44682</v>
      </c>
      <c r="F34">
        <f t="shared" si="3"/>
        <v>0</v>
      </c>
      <c r="G34" t="s">
        <v>95</v>
      </c>
    </row>
    <row r="35" spans="1:7" x14ac:dyDescent="0.25">
      <c r="A35" s="20">
        <f t="shared" si="1"/>
        <v>34</v>
      </c>
      <c r="B35" s="20">
        <f t="shared" si="0"/>
        <v>15</v>
      </c>
      <c r="C35" t="s">
        <v>127</v>
      </c>
      <c r="D35" s="2">
        <v>44689</v>
      </c>
      <c r="F35">
        <f t="shared" si="3"/>
        <v>0</v>
      </c>
      <c r="G35" t="s">
        <v>95</v>
      </c>
    </row>
    <row r="36" spans="1:7" x14ac:dyDescent="0.25">
      <c r="A36" s="20">
        <f t="shared" si="1"/>
        <v>35</v>
      </c>
      <c r="B36" s="20">
        <f t="shared" si="0"/>
        <v>16</v>
      </c>
      <c r="C36" t="s">
        <v>128</v>
      </c>
      <c r="D36" s="2">
        <v>44696</v>
      </c>
      <c r="F36">
        <f t="shared" si="3"/>
        <v>0</v>
      </c>
      <c r="G36" t="s">
        <v>95</v>
      </c>
    </row>
    <row r="37" spans="1:7" x14ac:dyDescent="0.25">
      <c r="A37" s="20">
        <f t="shared" si="1"/>
        <v>36</v>
      </c>
      <c r="B37" s="20">
        <f t="shared" si="0"/>
        <v>17</v>
      </c>
      <c r="C37" t="s">
        <v>129</v>
      </c>
      <c r="D37" s="2">
        <v>44703</v>
      </c>
      <c r="F37">
        <f t="shared" si="3"/>
        <v>0</v>
      </c>
      <c r="G37" t="s">
        <v>95</v>
      </c>
    </row>
    <row r="38" spans="1:7" x14ac:dyDescent="0.25">
      <c r="A38" s="20">
        <f t="shared" si="1"/>
        <v>37</v>
      </c>
      <c r="B38" s="20">
        <f t="shared" si="0"/>
        <v>18</v>
      </c>
      <c r="C38" t="s">
        <v>130</v>
      </c>
      <c r="D38" s="2">
        <v>44707</v>
      </c>
      <c r="F38">
        <f t="shared" si="3"/>
        <v>0</v>
      </c>
      <c r="G38" t="s">
        <v>95</v>
      </c>
    </row>
    <row r="39" spans="1:7" x14ac:dyDescent="0.25">
      <c r="A39" s="20">
        <f t="shared" si="1"/>
        <v>38</v>
      </c>
      <c r="B39" s="20">
        <f t="shared" si="0"/>
        <v>19</v>
      </c>
      <c r="C39" t="s">
        <v>131</v>
      </c>
      <c r="D39" s="2">
        <v>44710</v>
      </c>
      <c r="F39">
        <f t="shared" si="3"/>
        <v>0</v>
      </c>
      <c r="G39" t="s">
        <v>95</v>
      </c>
    </row>
    <row r="40" spans="1:7" x14ac:dyDescent="0.25">
      <c r="A40" s="20">
        <f t="shared" si="1"/>
        <v>39</v>
      </c>
      <c r="B40" s="20">
        <f t="shared" si="0"/>
        <v>20</v>
      </c>
      <c r="C40" t="s">
        <v>132</v>
      </c>
      <c r="D40" s="2">
        <v>44717</v>
      </c>
      <c r="F40">
        <f t="shared" si="3"/>
        <v>0</v>
      </c>
      <c r="G40" t="s">
        <v>95</v>
      </c>
    </row>
    <row r="41" spans="1:7" x14ac:dyDescent="0.25">
      <c r="A41" s="20">
        <f t="shared" si="1"/>
        <v>40</v>
      </c>
      <c r="B41" s="20">
        <f t="shared" si="0"/>
        <v>21</v>
      </c>
      <c r="C41" t="s">
        <v>133</v>
      </c>
      <c r="D41" s="2">
        <v>44724</v>
      </c>
      <c r="F41">
        <f t="shared" si="3"/>
        <v>0</v>
      </c>
      <c r="G41" t="s">
        <v>95</v>
      </c>
    </row>
    <row r="42" spans="1:7" x14ac:dyDescent="0.25">
      <c r="A42" s="20">
        <f t="shared" si="1"/>
        <v>41</v>
      </c>
      <c r="B42" s="20">
        <f t="shared" si="0"/>
        <v>22</v>
      </c>
      <c r="C42" t="s">
        <v>134</v>
      </c>
      <c r="D42" s="2">
        <v>44731</v>
      </c>
      <c r="F42">
        <f t="shared" si="3"/>
        <v>0</v>
      </c>
      <c r="G42" t="s">
        <v>95</v>
      </c>
    </row>
    <row r="43" spans="1:7" x14ac:dyDescent="0.25">
      <c r="A43" s="20">
        <f t="shared" si="1"/>
        <v>42</v>
      </c>
      <c r="B43" s="20">
        <f t="shared" si="0"/>
        <v>23</v>
      </c>
      <c r="C43" t="s">
        <v>135</v>
      </c>
      <c r="D43" s="2">
        <v>44738</v>
      </c>
      <c r="F43">
        <f t="shared" si="3"/>
        <v>0</v>
      </c>
      <c r="G43" t="s">
        <v>95</v>
      </c>
    </row>
    <row r="44" spans="1:7" x14ac:dyDescent="0.25">
      <c r="A44" s="20">
        <f t="shared" si="1"/>
        <v>43</v>
      </c>
      <c r="B44" s="20">
        <f t="shared" si="0"/>
        <v>24</v>
      </c>
      <c r="C44" t="s">
        <v>136</v>
      </c>
      <c r="D44" s="2">
        <v>44745</v>
      </c>
      <c r="F44">
        <f>E45-E44</f>
        <v>1</v>
      </c>
      <c r="G44" t="s">
        <v>95</v>
      </c>
    </row>
    <row r="45" spans="1:7" x14ac:dyDescent="0.25">
      <c r="A45" s="20">
        <f t="shared" si="1"/>
        <v>44</v>
      </c>
      <c r="B45" s="20">
        <f t="shared" si="0"/>
        <v>25</v>
      </c>
      <c r="C45" t="s">
        <v>137</v>
      </c>
      <c r="D45" s="2">
        <v>44752</v>
      </c>
      <c r="E45">
        <v>1</v>
      </c>
      <c r="F45">
        <f>E45-E44</f>
        <v>1</v>
      </c>
      <c r="G45" t="s">
        <v>95</v>
      </c>
    </row>
    <row r="46" spans="1:7" x14ac:dyDescent="0.25">
      <c r="A46" s="20">
        <f t="shared" si="1"/>
        <v>45</v>
      </c>
      <c r="B46" s="20">
        <f t="shared" si="0"/>
        <v>26</v>
      </c>
      <c r="C46" t="s">
        <v>138</v>
      </c>
      <c r="D46" s="2">
        <v>44759</v>
      </c>
      <c r="E46">
        <f>IF(OR(D46=D45,G46&lt;&gt;"NFC"),E45,E45+1)</f>
        <v>2</v>
      </c>
      <c r="F46">
        <f t="shared" ref="F46:F109" si="4">E46-E45</f>
        <v>1</v>
      </c>
      <c r="G46" t="s">
        <v>95</v>
      </c>
    </row>
    <row r="47" spans="1:7" x14ac:dyDescent="0.25">
      <c r="A47" s="20">
        <f t="shared" si="1"/>
        <v>46</v>
      </c>
      <c r="B47" s="20">
        <f t="shared" si="0"/>
        <v>27</v>
      </c>
      <c r="C47" t="s">
        <v>139</v>
      </c>
      <c r="D47" s="2">
        <v>44766</v>
      </c>
      <c r="E47">
        <f t="shared" ref="E47:E110" si="5">IF(OR(D47=D46,G47&lt;&gt;"NFC"),E46,E46+1)</f>
        <v>3</v>
      </c>
      <c r="F47">
        <f t="shared" si="4"/>
        <v>1</v>
      </c>
      <c r="G47" t="s">
        <v>95</v>
      </c>
    </row>
    <row r="48" spans="1:7" x14ac:dyDescent="0.25">
      <c r="A48" s="20">
        <f t="shared" si="1"/>
        <v>46</v>
      </c>
      <c r="B48" s="20">
        <f t="shared" si="0"/>
        <v>27</v>
      </c>
      <c r="C48" t="s">
        <v>140</v>
      </c>
      <c r="D48" s="2">
        <v>44770</v>
      </c>
      <c r="E48">
        <f t="shared" si="5"/>
        <v>3</v>
      </c>
      <c r="F48">
        <f t="shared" si="4"/>
        <v>0</v>
      </c>
      <c r="G48" t="str">
        <f t="shared" ref="G48:G54" si="6">TEXT(D48,"DDD")</f>
        <v>Thu</v>
      </c>
    </row>
    <row r="49" spans="1:7" x14ac:dyDescent="0.25">
      <c r="A49" s="20">
        <f t="shared" si="1"/>
        <v>47</v>
      </c>
      <c r="B49" s="20">
        <f t="shared" si="0"/>
        <v>28</v>
      </c>
      <c r="C49" t="s">
        <v>141</v>
      </c>
      <c r="D49" s="2">
        <v>44773</v>
      </c>
      <c r="E49">
        <f t="shared" si="5"/>
        <v>4</v>
      </c>
      <c r="F49">
        <f t="shared" si="4"/>
        <v>1</v>
      </c>
      <c r="G49" t="s">
        <v>95</v>
      </c>
    </row>
    <row r="50" spans="1:7" x14ac:dyDescent="0.25">
      <c r="A50" s="20">
        <f t="shared" si="1"/>
        <v>48</v>
      </c>
      <c r="B50" s="20">
        <f t="shared" si="0"/>
        <v>29</v>
      </c>
      <c r="C50" t="s">
        <v>142</v>
      </c>
      <c r="D50" s="2">
        <v>44780</v>
      </c>
      <c r="E50">
        <f t="shared" si="5"/>
        <v>5</v>
      </c>
      <c r="F50">
        <f t="shared" si="4"/>
        <v>1</v>
      </c>
      <c r="G50" t="s">
        <v>95</v>
      </c>
    </row>
    <row r="51" spans="1:7" x14ac:dyDescent="0.25">
      <c r="A51" s="20">
        <f t="shared" si="1"/>
        <v>49</v>
      </c>
      <c r="B51" s="20">
        <f t="shared" si="0"/>
        <v>30</v>
      </c>
      <c r="C51" t="s">
        <v>143</v>
      </c>
      <c r="D51" s="2">
        <v>44787</v>
      </c>
      <c r="E51">
        <f t="shared" si="5"/>
        <v>6</v>
      </c>
      <c r="F51">
        <f t="shared" si="4"/>
        <v>1</v>
      </c>
      <c r="G51" t="s">
        <v>95</v>
      </c>
    </row>
    <row r="52" spans="1:7" x14ac:dyDescent="0.25">
      <c r="A52" s="20">
        <f t="shared" si="1"/>
        <v>50</v>
      </c>
      <c r="B52" s="20">
        <f t="shared" si="0"/>
        <v>31</v>
      </c>
      <c r="C52" t="s">
        <v>144</v>
      </c>
      <c r="D52" s="2">
        <v>44794</v>
      </c>
      <c r="E52">
        <f t="shared" si="5"/>
        <v>7</v>
      </c>
      <c r="F52">
        <f t="shared" si="4"/>
        <v>1</v>
      </c>
      <c r="G52" t="s">
        <v>95</v>
      </c>
    </row>
    <row r="53" spans="1:7" x14ac:dyDescent="0.25">
      <c r="A53" s="20">
        <f t="shared" si="1"/>
        <v>51</v>
      </c>
      <c r="B53" s="20">
        <f t="shared" si="0"/>
        <v>32</v>
      </c>
      <c r="C53" t="s">
        <v>145</v>
      </c>
      <c r="D53" s="2">
        <v>44801</v>
      </c>
      <c r="E53">
        <f t="shared" si="5"/>
        <v>8</v>
      </c>
      <c r="F53">
        <f t="shared" si="4"/>
        <v>1</v>
      </c>
      <c r="G53" t="s">
        <v>95</v>
      </c>
    </row>
    <row r="54" spans="1:7" x14ac:dyDescent="0.25">
      <c r="A54" s="20">
        <f t="shared" si="1"/>
        <v>51</v>
      </c>
      <c r="B54" s="20">
        <f t="shared" si="0"/>
        <v>32</v>
      </c>
      <c r="C54" t="s">
        <v>146</v>
      </c>
      <c r="D54" s="2">
        <v>44806</v>
      </c>
      <c r="E54">
        <f t="shared" si="5"/>
        <v>8</v>
      </c>
      <c r="F54">
        <f t="shared" si="4"/>
        <v>0</v>
      </c>
      <c r="G54" t="str">
        <f t="shared" si="6"/>
        <v>Fri</v>
      </c>
    </row>
    <row r="55" spans="1:7" x14ac:dyDescent="0.25">
      <c r="A55" s="20">
        <f t="shared" si="1"/>
        <v>52</v>
      </c>
      <c r="B55" s="20">
        <f t="shared" si="0"/>
        <v>33</v>
      </c>
      <c r="C55" t="s">
        <v>147</v>
      </c>
      <c r="D55" s="2">
        <v>44808</v>
      </c>
      <c r="E55">
        <f t="shared" si="5"/>
        <v>9</v>
      </c>
      <c r="F55">
        <f t="shared" si="4"/>
        <v>1</v>
      </c>
      <c r="G55" t="s">
        <v>95</v>
      </c>
    </row>
    <row r="56" spans="1:7" x14ac:dyDescent="0.25">
      <c r="A56" s="20">
        <f t="shared" si="1"/>
        <v>53</v>
      </c>
      <c r="B56" s="20">
        <f t="shared" si="0"/>
        <v>34</v>
      </c>
      <c r="C56" t="s">
        <v>148</v>
      </c>
      <c r="D56" s="2">
        <v>44815</v>
      </c>
      <c r="E56">
        <f t="shared" si="5"/>
        <v>10</v>
      </c>
      <c r="F56">
        <f t="shared" si="4"/>
        <v>1</v>
      </c>
      <c r="G56" t="s">
        <v>95</v>
      </c>
    </row>
    <row r="57" spans="1:7" x14ac:dyDescent="0.25">
      <c r="A57" s="20">
        <f t="shared" si="1"/>
        <v>54</v>
      </c>
      <c r="B57" s="20">
        <f t="shared" si="0"/>
        <v>35</v>
      </c>
      <c r="C57" t="s">
        <v>149</v>
      </c>
      <c r="D57" s="2">
        <v>44822</v>
      </c>
      <c r="E57">
        <f t="shared" si="5"/>
        <v>11</v>
      </c>
      <c r="F57">
        <f t="shared" si="4"/>
        <v>1</v>
      </c>
      <c r="G57" t="s">
        <v>95</v>
      </c>
    </row>
    <row r="58" spans="1:7" x14ac:dyDescent="0.25">
      <c r="A58" s="20">
        <f t="shared" si="1"/>
        <v>55</v>
      </c>
      <c r="B58" s="20">
        <f t="shared" si="0"/>
        <v>36</v>
      </c>
      <c r="C58" t="s">
        <v>150</v>
      </c>
      <c r="D58" s="2">
        <v>44829</v>
      </c>
      <c r="E58">
        <f t="shared" si="5"/>
        <v>12</v>
      </c>
      <c r="F58">
        <f t="shared" si="4"/>
        <v>1</v>
      </c>
      <c r="G58" t="s">
        <v>95</v>
      </c>
    </row>
    <row r="59" spans="1:7" x14ac:dyDescent="0.25">
      <c r="A59" s="20">
        <f t="shared" si="1"/>
        <v>56</v>
      </c>
      <c r="B59" s="20">
        <f t="shared" si="0"/>
        <v>37</v>
      </c>
      <c r="C59" t="s">
        <v>151</v>
      </c>
      <c r="D59" s="2">
        <v>44836</v>
      </c>
      <c r="E59">
        <f t="shared" si="5"/>
        <v>13</v>
      </c>
      <c r="F59">
        <f t="shared" si="4"/>
        <v>1</v>
      </c>
      <c r="G59" t="s">
        <v>95</v>
      </c>
    </row>
    <row r="60" spans="1:7" x14ac:dyDescent="0.25">
      <c r="A60" s="20">
        <f t="shared" si="1"/>
        <v>57</v>
      </c>
      <c r="B60" s="20">
        <f t="shared" si="0"/>
        <v>38</v>
      </c>
      <c r="C60" t="s">
        <v>115</v>
      </c>
      <c r="D60" s="2">
        <v>44843</v>
      </c>
      <c r="E60">
        <f t="shared" si="5"/>
        <v>14</v>
      </c>
      <c r="F60">
        <f t="shared" si="4"/>
        <v>1</v>
      </c>
      <c r="G60" t="s">
        <v>95</v>
      </c>
    </row>
    <row r="61" spans="1:7" x14ac:dyDescent="0.25">
      <c r="A61" s="20">
        <f t="shared" si="1"/>
        <v>58</v>
      </c>
      <c r="B61" s="20">
        <f t="shared" si="0"/>
        <v>39</v>
      </c>
      <c r="C61" t="s">
        <v>152</v>
      </c>
      <c r="D61" s="2">
        <v>44850</v>
      </c>
      <c r="E61">
        <f t="shared" si="5"/>
        <v>15</v>
      </c>
      <c r="F61">
        <f t="shared" si="4"/>
        <v>1</v>
      </c>
      <c r="G61" t="s">
        <v>95</v>
      </c>
    </row>
    <row r="62" spans="1:7" x14ac:dyDescent="0.25">
      <c r="A62" s="20">
        <f t="shared" si="1"/>
        <v>59</v>
      </c>
      <c r="B62" s="20">
        <f t="shared" si="0"/>
        <v>40</v>
      </c>
      <c r="C62" t="s">
        <v>153</v>
      </c>
      <c r="D62" s="2">
        <v>44857</v>
      </c>
      <c r="E62">
        <f t="shared" si="5"/>
        <v>16</v>
      </c>
      <c r="F62">
        <f t="shared" si="4"/>
        <v>1</v>
      </c>
      <c r="G62" t="s">
        <v>95</v>
      </c>
    </row>
    <row r="63" spans="1:7" x14ac:dyDescent="0.25">
      <c r="A63" s="20">
        <f t="shared" si="1"/>
        <v>60</v>
      </c>
      <c r="B63" s="20">
        <f t="shared" si="0"/>
        <v>41</v>
      </c>
      <c r="C63" t="s">
        <v>154</v>
      </c>
      <c r="D63" s="2">
        <v>44864</v>
      </c>
      <c r="E63">
        <f t="shared" si="5"/>
        <v>17</v>
      </c>
      <c r="F63">
        <f t="shared" si="4"/>
        <v>1</v>
      </c>
      <c r="G63" t="s">
        <v>95</v>
      </c>
    </row>
    <row r="64" spans="1:7" x14ac:dyDescent="0.25">
      <c r="A64" s="20">
        <f t="shared" si="1"/>
        <v>61</v>
      </c>
      <c r="B64" s="20">
        <f t="shared" si="0"/>
        <v>42</v>
      </c>
      <c r="C64" t="s">
        <v>155</v>
      </c>
      <c r="D64" s="2">
        <v>44871</v>
      </c>
      <c r="E64">
        <f t="shared" si="5"/>
        <v>18</v>
      </c>
      <c r="F64">
        <f t="shared" si="4"/>
        <v>1</v>
      </c>
      <c r="G64" t="s">
        <v>95</v>
      </c>
    </row>
    <row r="65" spans="1:7" x14ac:dyDescent="0.25">
      <c r="A65" s="20">
        <f t="shared" si="1"/>
        <v>62</v>
      </c>
      <c r="B65" s="20">
        <f t="shared" si="0"/>
        <v>43</v>
      </c>
      <c r="C65" t="s">
        <v>156</v>
      </c>
      <c r="D65" s="2">
        <v>44878</v>
      </c>
      <c r="E65">
        <f t="shared" si="5"/>
        <v>19</v>
      </c>
      <c r="F65">
        <f t="shared" si="4"/>
        <v>1</v>
      </c>
      <c r="G65" t="s">
        <v>95</v>
      </c>
    </row>
    <row r="66" spans="1:7" x14ac:dyDescent="0.25">
      <c r="A66" s="20">
        <f t="shared" si="1"/>
        <v>63</v>
      </c>
      <c r="B66" s="20">
        <f t="shared" si="0"/>
        <v>44</v>
      </c>
      <c r="C66" t="s">
        <v>157</v>
      </c>
      <c r="D66" s="2">
        <v>44885</v>
      </c>
      <c r="E66">
        <f t="shared" si="5"/>
        <v>20</v>
      </c>
      <c r="F66">
        <f t="shared" si="4"/>
        <v>1</v>
      </c>
      <c r="G66" t="s">
        <v>95</v>
      </c>
    </row>
    <row r="67" spans="1:7" x14ac:dyDescent="0.25">
      <c r="A67" s="20">
        <f t="shared" si="1"/>
        <v>64</v>
      </c>
      <c r="B67" s="20">
        <f t="shared" ref="B67:B130" si="7">IFERROR(IF(G67&lt;&gt;"NFC",B66,
IF(D67=D66,B66,IF(YEAR(D67)&lt;&gt;YEAR(D66),1,B66+1))),1)</f>
        <v>45</v>
      </c>
      <c r="C67" t="s">
        <v>158</v>
      </c>
      <c r="D67" s="2">
        <v>44892</v>
      </c>
      <c r="E67">
        <f t="shared" si="5"/>
        <v>21</v>
      </c>
      <c r="F67">
        <f t="shared" si="4"/>
        <v>1</v>
      </c>
      <c r="G67" t="s">
        <v>95</v>
      </c>
    </row>
    <row r="68" spans="1:7" x14ac:dyDescent="0.25">
      <c r="A68" s="20">
        <f t="shared" ref="A68:A131" si="8">IF(G68&lt;&gt;"NFC",A67,IF(D68=D67,A67,A67+1))</f>
        <v>65</v>
      </c>
      <c r="B68" s="20">
        <f t="shared" si="7"/>
        <v>46</v>
      </c>
      <c r="C68" t="s">
        <v>159</v>
      </c>
      <c r="D68" s="2">
        <v>44899</v>
      </c>
      <c r="E68">
        <f t="shared" si="5"/>
        <v>22</v>
      </c>
      <c r="F68">
        <f t="shared" si="4"/>
        <v>1</v>
      </c>
      <c r="G68" t="s">
        <v>95</v>
      </c>
    </row>
    <row r="69" spans="1:7" x14ac:dyDescent="0.25">
      <c r="A69" s="20">
        <f t="shared" si="8"/>
        <v>66</v>
      </c>
      <c r="B69" s="20">
        <f t="shared" si="7"/>
        <v>47</v>
      </c>
      <c r="C69" t="s">
        <v>160</v>
      </c>
      <c r="D69" s="2">
        <v>44906</v>
      </c>
      <c r="E69">
        <f t="shared" si="5"/>
        <v>23</v>
      </c>
      <c r="F69">
        <f t="shared" si="4"/>
        <v>1</v>
      </c>
      <c r="G69" t="s">
        <v>95</v>
      </c>
    </row>
    <row r="70" spans="1:7" x14ac:dyDescent="0.25">
      <c r="A70" s="20">
        <f t="shared" si="8"/>
        <v>67</v>
      </c>
      <c r="B70" s="20">
        <f t="shared" si="7"/>
        <v>48</v>
      </c>
      <c r="C70" t="s">
        <v>161</v>
      </c>
      <c r="D70" s="2">
        <v>44913</v>
      </c>
      <c r="E70">
        <f t="shared" si="5"/>
        <v>24</v>
      </c>
      <c r="F70">
        <f t="shared" si="4"/>
        <v>1</v>
      </c>
      <c r="G70" t="s">
        <v>95</v>
      </c>
    </row>
    <row r="71" spans="1:7" x14ac:dyDescent="0.25">
      <c r="A71" s="20">
        <f t="shared" si="8"/>
        <v>68</v>
      </c>
      <c r="B71" s="20">
        <f t="shared" si="7"/>
        <v>1</v>
      </c>
      <c r="C71" t="s">
        <v>162</v>
      </c>
      <c r="D71" s="2">
        <v>44941</v>
      </c>
      <c r="E71">
        <f t="shared" si="5"/>
        <v>25</v>
      </c>
      <c r="F71">
        <f t="shared" si="4"/>
        <v>1</v>
      </c>
      <c r="G71" t="s">
        <v>95</v>
      </c>
    </row>
    <row r="72" spans="1:7" x14ac:dyDescent="0.25">
      <c r="A72" s="20">
        <f t="shared" si="8"/>
        <v>69</v>
      </c>
      <c r="B72" s="20">
        <f t="shared" si="7"/>
        <v>2</v>
      </c>
      <c r="C72" t="s">
        <v>163</v>
      </c>
      <c r="D72" s="2">
        <v>44948</v>
      </c>
      <c r="E72">
        <f t="shared" si="5"/>
        <v>26</v>
      </c>
      <c r="F72">
        <f t="shared" si="4"/>
        <v>1</v>
      </c>
      <c r="G72" t="s">
        <v>95</v>
      </c>
    </row>
    <row r="73" spans="1:7" x14ac:dyDescent="0.25">
      <c r="A73" s="20">
        <f t="shared" si="8"/>
        <v>70</v>
      </c>
      <c r="B73" s="20">
        <f t="shared" si="7"/>
        <v>3</v>
      </c>
      <c r="C73" t="s">
        <v>164</v>
      </c>
      <c r="D73" s="2">
        <v>44955</v>
      </c>
      <c r="E73">
        <f t="shared" si="5"/>
        <v>27</v>
      </c>
      <c r="F73">
        <f t="shared" si="4"/>
        <v>1</v>
      </c>
      <c r="G73" t="s">
        <v>95</v>
      </c>
    </row>
    <row r="74" spans="1:7" x14ac:dyDescent="0.25">
      <c r="A74" s="20">
        <f t="shared" si="8"/>
        <v>71</v>
      </c>
      <c r="B74" s="20">
        <f t="shared" si="7"/>
        <v>4</v>
      </c>
      <c r="C74" t="s">
        <v>165</v>
      </c>
      <c r="D74" s="2">
        <v>44962</v>
      </c>
      <c r="E74">
        <f t="shared" si="5"/>
        <v>28</v>
      </c>
      <c r="F74">
        <f t="shared" si="4"/>
        <v>1</v>
      </c>
      <c r="G74" t="s">
        <v>95</v>
      </c>
    </row>
    <row r="75" spans="1:7" x14ac:dyDescent="0.25">
      <c r="A75" s="20">
        <f t="shared" si="8"/>
        <v>72</v>
      </c>
      <c r="B75" s="20">
        <f t="shared" si="7"/>
        <v>5</v>
      </c>
      <c r="C75" t="s">
        <v>166</v>
      </c>
      <c r="D75" s="2">
        <v>44969</v>
      </c>
      <c r="E75">
        <f t="shared" si="5"/>
        <v>29</v>
      </c>
      <c r="F75">
        <f t="shared" si="4"/>
        <v>1</v>
      </c>
      <c r="G75" t="s">
        <v>95</v>
      </c>
    </row>
    <row r="76" spans="1:7" x14ac:dyDescent="0.25">
      <c r="A76" s="20">
        <f t="shared" si="8"/>
        <v>73</v>
      </c>
      <c r="B76" s="20">
        <f t="shared" si="7"/>
        <v>6</v>
      </c>
      <c r="C76" t="s">
        <v>9</v>
      </c>
      <c r="D76" s="2">
        <v>44976</v>
      </c>
      <c r="E76">
        <f t="shared" si="5"/>
        <v>30</v>
      </c>
      <c r="F76">
        <f t="shared" si="4"/>
        <v>1</v>
      </c>
      <c r="G76" t="s">
        <v>95</v>
      </c>
    </row>
    <row r="77" spans="1:7" x14ac:dyDescent="0.25">
      <c r="A77" s="20">
        <f t="shared" si="8"/>
        <v>74</v>
      </c>
      <c r="B77" s="20">
        <f t="shared" si="7"/>
        <v>7</v>
      </c>
      <c r="C77" t="s">
        <v>10</v>
      </c>
      <c r="D77" s="2">
        <v>44990</v>
      </c>
      <c r="E77">
        <f t="shared" si="5"/>
        <v>31</v>
      </c>
      <c r="F77">
        <f t="shared" si="4"/>
        <v>1</v>
      </c>
      <c r="G77" t="s">
        <v>95</v>
      </c>
    </row>
    <row r="78" spans="1:7" x14ac:dyDescent="0.25">
      <c r="A78" s="20">
        <f t="shared" si="8"/>
        <v>75</v>
      </c>
      <c r="B78" s="20">
        <f t="shared" si="7"/>
        <v>8</v>
      </c>
      <c r="C78" t="s">
        <v>11</v>
      </c>
      <c r="D78" s="2">
        <v>44997</v>
      </c>
      <c r="E78">
        <f t="shared" si="5"/>
        <v>32</v>
      </c>
      <c r="F78">
        <f t="shared" si="4"/>
        <v>1</v>
      </c>
      <c r="G78" t="s">
        <v>95</v>
      </c>
    </row>
    <row r="79" spans="1:7" x14ac:dyDescent="0.25">
      <c r="A79" s="20">
        <f t="shared" si="8"/>
        <v>76</v>
      </c>
      <c r="B79" s="20">
        <f t="shared" si="7"/>
        <v>9</v>
      </c>
      <c r="C79" t="s">
        <v>12</v>
      </c>
      <c r="D79" s="2">
        <v>45004</v>
      </c>
      <c r="E79">
        <f t="shared" si="5"/>
        <v>33</v>
      </c>
      <c r="F79">
        <f t="shared" si="4"/>
        <v>1</v>
      </c>
      <c r="G79" t="s">
        <v>95</v>
      </c>
    </row>
    <row r="80" spans="1:7" x14ac:dyDescent="0.25">
      <c r="A80" s="20">
        <f t="shared" si="8"/>
        <v>77</v>
      </c>
      <c r="B80" s="20">
        <f t="shared" si="7"/>
        <v>10</v>
      </c>
      <c r="C80" t="s">
        <v>167</v>
      </c>
      <c r="D80" s="2">
        <v>45011</v>
      </c>
      <c r="E80">
        <f t="shared" si="5"/>
        <v>34</v>
      </c>
      <c r="F80">
        <f t="shared" si="4"/>
        <v>1</v>
      </c>
      <c r="G80" t="s">
        <v>95</v>
      </c>
    </row>
    <row r="81" spans="1:7" x14ac:dyDescent="0.25">
      <c r="A81" s="20">
        <f t="shared" si="8"/>
        <v>78</v>
      </c>
      <c r="B81" s="20">
        <f t="shared" si="7"/>
        <v>11</v>
      </c>
      <c r="C81" t="s">
        <v>13</v>
      </c>
      <c r="D81" s="2">
        <v>45018</v>
      </c>
      <c r="E81">
        <f t="shared" si="5"/>
        <v>35</v>
      </c>
      <c r="F81">
        <f t="shared" si="4"/>
        <v>1</v>
      </c>
      <c r="G81" t="s">
        <v>95</v>
      </c>
    </row>
    <row r="82" spans="1:7" x14ac:dyDescent="0.25">
      <c r="A82" s="20">
        <f t="shared" si="8"/>
        <v>79</v>
      </c>
      <c r="B82" s="20">
        <f t="shared" si="7"/>
        <v>12</v>
      </c>
      <c r="C82" t="s">
        <v>14</v>
      </c>
      <c r="D82" s="2">
        <v>45025</v>
      </c>
      <c r="E82">
        <f t="shared" si="5"/>
        <v>36</v>
      </c>
      <c r="F82">
        <f t="shared" si="4"/>
        <v>1</v>
      </c>
      <c r="G82" t="s">
        <v>95</v>
      </c>
    </row>
    <row r="83" spans="1:7" x14ac:dyDescent="0.25">
      <c r="A83" s="20">
        <f t="shared" si="8"/>
        <v>80</v>
      </c>
      <c r="B83" s="20">
        <f t="shared" si="7"/>
        <v>13</v>
      </c>
      <c r="C83" t="s">
        <v>168</v>
      </c>
      <c r="D83" s="2">
        <v>45032</v>
      </c>
      <c r="E83">
        <f t="shared" si="5"/>
        <v>37</v>
      </c>
      <c r="F83">
        <f t="shared" si="4"/>
        <v>1</v>
      </c>
      <c r="G83" t="s">
        <v>95</v>
      </c>
    </row>
    <row r="84" spans="1:7" x14ac:dyDescent="0.25">
      <c r="A84" s="20">
        <f t="shared" si="8"/>
        <v>81</v>
      </c>
      <c r="B84" s="20">
        <f t="shared" si="7"/>
        <v>14</v>
      </c>
      <c r="C84" t="s">
        <v>169</v>
      </c>
      <c r="D84" s="2">
        <v>45039</v>
      </c>
      <c r="E84">
        <f t="shared" si="5"/>
        <v>38</v>
      </c>
      <c r="F84">
        <f t="shared" si="4"/>
        <v>1</v>
      </c>
      <c r="G84" t="s">
        <v>95</v>
      </c>
    </row>
    <row r="85" spans="1:7" x14ac:dyDescent="0.25">
      <c r="A85" s="20">
        <f t="shared" si="8"/>
        <v>82</v>
      </c>
      <c r="B85" s="20">
        <f t="shared" si="7"/>
        <v>15</v>
      </c>
      <c r="C85" t="s">
        <v>15</v>
      </c>
      <c r="D85" s="2">
        <v>45046</v>
      </c>
      <c r="E85">
        <f t="shared" si="5"/>
        <v>39</v>
      </c>
      <c r="F85">
        <f t="shared" si="4"/>
        <v>1</v>
      </c>
      <c r="G85" t="s">
        <v>95</v>
      </c>
    </row>
    <row r="86" spans="1:7" x14ac:dyDescent="0.25">
      <c r="A86" s="20">
        <f t="shared" si="8"/>
        <v>83</v>
      </c>
      <c r="B86" s="20">
        <f t="shared" si="7"/>
        <v>16</v>
      </c>
      <c r="C86" t="s">
        <v>16</v>
      </c>
      <c r="D86" s="2">
        <v>45053</v>
      </c>
      <c r="E86">
        <f t="shared" si="5"/>
        <v>40</v>
      </c>
      <c r="F86">
        <f t="shared" si="4"/>
        <v>1</v>
      </c>
      <c r="G86" t="s">
        <v>95</v>
      </c>
    </row>
    <row r="87" spans="1:7" x14ac:dyDescent="0.25">
      <c r="A87" s="20">
        <f t="shared" si="8"/>
        <v>84</v>
      </c>
      <c r="B87" s="20">
        <f t="shared" si="7"/>
        <v>17</v>
      </c>
      <c r="C87" t="s">
        <v>18</v>
      </c>
      <c r="D87" s="2">
        <v>45060</v>
      </c>
      <c r="E87">
        <f t="shared" si="5"/>
        <v>41</v>
      </c>
      <c r="F87">
        <f t="shared" si="4"/>
        <v>1</v>
      </c>
      <c r="G87" t="s">
        <v>95</v>
      </c>
    </row>
    <row r="88" spans="1:7" x14ac:dyDescent="0.25">
      <c r="A88" s="20">
        <f t="shared" si="8"/>
        <v>84</v>
      </c>
      <c r="B88" s="20">
        <f t="shared" si="7"/>
        <v>17</v>
      </c>
      <c r="C88" t="s">
        <v>17</v>
      </c>
      <c r="D88" s="2">
        <v>45060</v>
      </c>
      <c r="E88">
        <f t="shared" si="5"/>
        <v>41</v>
      </c>
      <c r="F88">
        <f t="shared" si="4"/>
        <v>0</v>
      </c>
      <c r="G88" t="s">
        <v>95</v>
      </c>
    </row>
    <row r="89" spans="1:7" x14ac:dyDescent="0.25">
      <c r="A89" s="20">
        <f t="shared" si="8"/>
        <v>85</v>
      </c>
      <c r="B89" s="20">
        <f t="shared" si="7"/>
        <v>18</v>
      </c>
      <c r="C89" t="s">
        <v>170</v>
      </c>
      <c r="D89" s="2">
        <v>45067</v>
      </c>
      <c r="E89">
        <f t="shared" si="5"/>
        <v>42</v>
      </c>
      <c r="F89">
        <f t="shared" si="4"/>
        <v>1</v>
      </c>
      <c r="G89" t="s">
        <v>95</v>
      </c>
    </row>
    <row r="90" spans="1:7" x14ac:dyDescent="0.25">
      <c r="A90" s="20">
        <f t="shared" si="8"/>
        <v>86</v>
      </c>
      <c r="B90" s="20">
        <f t="shared" si="7"/>
        <v>19</v>
      </c>
      <c r="C90" t="s">
        <v>20</v>
      </c>
      <c r="D90" s="2">
        <v>45074</v>
      </c>
      <c r="E90">
        <f t="shared" si="5"/>
        <v>43</v>
      </c>
      <c r="F90">
        <f t="shared" si="4"/>
        <v>1</v>
      </c>
      <c r="G90" t="s">
        <v>95</v>
      </c>
    </row>
    <row r="91" spans="1:7" x14ac:dyDescent="0.25">
      <c r="A91" s="20">
        <f t="shared" si="8"/>
        <v>87</v>
      </c>
      <c r="B91" s="20">
        <f t="shared" si="7"/>
        <v>20</v>
      </c>
      <c r="C91" t="s">
        <v>21</v>
      </c>
      <c r="D91" s="2">
        <v>45081</v>
      </c>
      <c r="E91">
        <f t="shared" si="5"/>
        <v>44</v>
      </c>
      <c r="F91">
        <f t="shared" si="4"/>
        <v>1</v>
      </c>
      <c r="G91" t="s">
        <v>95</v>
      </c>
    </row>
    <row r="92" spans="1:7" x14ac:dyDescent="0.25">
      <c r="A92" s="20">
        <f t="shared" si="8"/>
        <v>88</v>
      </c>
      <c r="B92" s="20">
        <f t="shared" si="7"/>
        <v>21</v>
      </c>
      <c r="C92" t="s">
        <v>22</v>
      </c>
      <c r="D92" s="2">
        <v>45088</v>
      </c>
      <c r="E92">
        <f t="shared" si="5"/>
        <v>45</v>
      </c>
      <c r="F92">
        <f t="shared" si="4"/>
        <v>1</v>
      </c>
      <c r="G92" t="s">
        <v>95</v>
      </c>
    </row>
    <row r="93" spans="1:7" x14ac:dyDescent="0.25">
      <c r="A93" s="20">
        <f t="shared" si="8"/>
        <v>89</v>
      </c>
      <c r="B93" s="20">
        <f t="shared" si="7"/>
        <v>22</v>
      </c>
      <c r="C93" t="s">
        <v>23</v>
      </c>
      <c r="D93" s="2">
        <v>45095</v>
      </c>
      <c r="E93">
        <f t="shared" si="5"/>
        <v>46</v>
      </c>
      <c r="F93">
        <f t="shared" si="4"/>
        <v>1</v>
      </c>
      <c r="G93" t="s">
        <v>95</v>
      </c>
    </row>
    <row r="94" spans="1:7" x14ac:dyDescent="0.25">
      <c r="A94" s="20">
        <f t="shared" si="8"/>
        <v>90</v>
      </c>
      <c r="B94" s="20">
        <f t="shared" si="7"/>
        <v>23</v>
      </c>
      <c r="C94" t="s">
        <v>24</v>
      </c>
      <c r="D94" s="2">
        <v>45102</v>
      </c>
      <c r="E94">
        <f t="shared" si="5"/>
        <v>47</v>
      </c>
      <c r="F94">
        <f t="shared" si="4"/>
        <v>1</v>
      </c>
      <c r="G94" t="s">
        <v>95</v>
      </c>
    </row>
    <row r="95" spans="1:7" x14ac:dyDescent="0.25">
      <c r="A95" s="20">
        <f t="shared" si="8"/>
        <v>91</v>
      </c>
      <c r="B95" s="20">
        <f t="shared" si="7"/>
        <v>24</v>
      </c>
      <c r="C95" t="s">
        <v>25</v>
      </c>
      <c r="D95" s="2">
        <v>45109</v>
      </c>
      <c r="E95">
        <f t="shared" si="5"/>
        <v>48</v>
      </c>
      <c r="F95">
        <f t="shared" si="4"/>
        <v>1</v>
      </c>
      <c r="G95" t="s">
        <v>95</v>
      </c>
    </row>
    <row r="96" spans="1:7" x14ac:dyDescent="0.25">
      <c r="A96" s="20">
        <f t="shared" si="8"/>
        <v>92</v>
      </c>
      <c r="B96" s="20">
        <f t="shared" si="7"/>
        <v>25</v>
      </c>
      <c r="C96" t="s">
        <v>171</v>
      </c>
      <c r="D96" s="2">
        <v>45116</v>
      </c>
      <c r="E96">
        <f t="shared" si="5"/>
        <v>49</v>
      </c>
      <c r="F96">
        <f t="shared" si="4"/>
        <v>1</v>
      </c>
      <c r="G96" t="s">
        <v>95</v>
      </c>
    </row>
    <row r="97" spans="1:7" x14ac:dyDescent="0.25">
      <c r="A97" s="20">
        <f t="shared" si="8"/>
        <v>93</v>
      </c>
      <c r="B97" s="20">
        <f t="shared" si="7"/>
        <v>26</v>
      </c>
      <c r="C97" t="s">
        <v>26</v>
      </c>
      <c r="D97" s="2">
        <v>45130</v>
      </c>
      <c r="E97" s="22">
        <v>51</v>
      </c>
      <c r="F97">
        <f t="shared" si="4"/>
        <v>2</v>
      </c>
      <c r="G97" t="s">
        <v>95</v>
      </c>
    </row>
    <row r="98" spans="1:7" x14ac:dyDescent="0.25">
      <c r="A98" s="20">
        <f t="shared" si="8"/>
        <v>94</v>
      </c>
      <c r="B98" s="20">
        <f t="shared" si="7"/>
        <v>27</v>
      </c>
      <c r="C98" t="s">
        <v>27</v>
      </c>
      <c r="D98" s="2">
        <v>45137</v>
      </c>
      <c r="E98">
        <f t="shared" si="5"/>
        <v>52</v>
      </c>
      <c r="F98">
        <f t="shared" si="4"/>
        <v>1</v>
      </c>
      <c r="G98" t="s">
        <v>95</v>
      </c>
    </row>
    <row r="99" spans="1:7" x14ac:dyDescent="0.25">
      <c r="A99" s="20">
        <f t="shared" si="8"/>
        <v>95</v>
      </c>
      <c r="B99" s="20">
        <f t="shared" si="7"/>
        <v>28</v>
      </c>
      <c r="C99" t="s">
        <v>28</v>
      </c>
      <c r="D99" s="2">
        <v>45144</v>
      </c>
      <c r="E99">
        <f t="shared" si="5"/>
        <v>53</v>
      </c>
      <c r="F99">
        <f t="shared" si="4"/>
        <v>1</v>
      </c>
      <c r="G99" t="s">
        <v>95</v>
      </c>
    </row>
    <row r="100" spans="1:7" x14ac:dyDescent="0.25">
      <c r="A100" s="20">
        <f t="shared" si="8"/>
        <v>96</v>
      </c>
      <c r="B100" s="20">
        <f t="shared" si="7"/>
        <v>29</v>
      </c>
      <c r="C100" t="s">
        <v>29</v>
      </c>
      <c r="D100" s="2">
        <v>45151</v>
      </c>
      <c r="E100">
        <f t="shared" si="5"/>
        <v>54</v>
      </c>
      <c r="F100">
        <f t="shared" si="4"/>
        <v>1</v>
      </c>
      <c r="G100" t="s">
        <v>95</v>
      </c>
    </row>
    <row r="101" spans="1:7" x14ac:dyDescent="0.25">
      <c r="A101" s="20">
        <f t="shared" si="8"/>
        <v>97</v>
      </c>
      <c r="B101" s="20">
        <f t="shared" si="7"/>
        <v>30</v>
      </c>
      <c r="C101" t="s">
        <v>30</v>
      </c>
      <c r="D101" s="2">
        <v>45158</v>
      </c>
      <c r="E101">
        <f t="shared" si="5"/>
        <v>55</v>
      </c>
      <c r="F101">
        <f t="shared" si="4"/>
        <v>1</v>
      </c>
      <c r="G101" t="s">
        <v>95</v>
      </c>
    </row>
    <row r="102" spans="1:7" x14ac:dyDescent="0.25">
      <c r="A102" s="20">
        <f t="shared" si="8"/>
        <v>98</v>
      </c>
      <c r="B102" s="20">
        <f t="shared" si="7"/>
        <v>31</v>
      </c>
      <c r="C102" t="s">
        <v>159</v>
      </c>
      <c r="D102" s="2">
        <v>45165</v>
      </c>
      <c r="E102">
        <f t="shared" si="5"/>
        <v>56</v>
      </c>
      <c r="F102">
        <f t="shared" si="4"/>
        <v>1</v>
      </c>
      <c r="G102" t="s">
        <v>95</v>
      </c>
    </row>
    <row r="103" spans="1:7" x14ac:dyDescent="0.25">
      <c r="A103" s="20">
        <f t="shared" si="8"/>
        <v>99</v>
      </c>
      <c r="B103" s="20">
        <f t="shared" si="7"/>
        <v>32</v>
      </c>
      <c r="C103" t="s">
        <v>31</v>
      </c>
      <c r="D103" s="2">
        <v>45172</v>
      </c>
      <c r="E103">
        <f t="shared" si="5"/>
        <v>57</v>
      </c>
      <c r="F103">
        <f t="shared" si="4"/>
        <v>1</v>
      </c>
      <c r="G103" t="s">
        <v>95</v>
      </c>
    </row>
    <row r="104" spans="1:7" x14ac:dyDescent="0.25">
      <c r="A104" s="20">
        <f t="shared" si="8"/>
        <v>100</v>
      </c>
      <c r="B104" s="20">
        <f t="shared" si="7"/>
        <v>33</v>
      </c>
      <c r="C104" t="s">
        <v>32</v>
      </c>
      <c r="D104" s="2">
        <v>45179</v>
      </c>
      <c r="E104">
        <f t="shared" si="5"/>
        <v>58</v>
      </c>
      <c r="F104">
        <f t="shared" si="4"/>
        <v>1</v>
      </c>
      <c r="G104" t="s">
        <v>95</v>
      </c>
    </row>
    <row r="105" spans="1:7" x14ac:dyDescent="0.25">
      <c r="A105" s="20">
        <f t="shared" si="8"/>
        <v>101</v>
      </c>
      <c r="B105" s="20">
        <f t="shared" si="7"/>
        <v>34</v>
      </c>
      <c r="C105" t="s">
        <v>33</v>
      </c>
      <c r="D105" s="2">
        <v>45186</v>
      </c>
      <c r="E105">
        <f t="shared" si="5"/>
        <v>59</v>
      </c>
      <c r="F105">
        <f t="shared" si="4"/>
        <v>1</v>
      </c>
      <c r="G105" t="s">
        <v>95</v>
      </c>
    </row>
    <row r="106" spans="1:7" x14ac:dyDescent="0.25">
      <c r="A106" s="20">
        <f t="shared" si="8"/>
        <v>102</v>
      </c>
      <c r="B106" s="20">
        <f t="shared" si="7"/>
        <v>35</v>
      </c>
      <c r="C106" t="s">
        <v>34</v>
      </c>
      <c r="D106" s="2">
        <v>45193</v>
      </c>
      <c r="E106">
        <f t="shared" si="5"/>
        <v>60</v>
      </c>
      <c r="F106">
        <f t="shared" si="4"/>
        <v>1</v>
      </c>
      <c r="G106" t="s">
        <v>95</v>
      </c>
    </row>
    <row r="107" spans="1:7" x14ac:dyDescent="0.25">
      <c r="A107" s="20">
        <f t="shared" si="8"/>
        <v>103</v>
      </c>
      <c r="B107" s="20">
        <f t="shared" si="7"/>
        <v>36</v>
      </c>
      <c r="C107" t="s">
        <v>35</v>
      </c>
      <c r="D107" s="2">
        <v>45200</v>
      </c>
      <c r="E107">
        <f t="shared" si="5"/>
        <v>61</v>
      </c>
      <c r="F107">
        <f t="shared" si="4"/>
        <v>1</v>
      </c>
      <c r="G107" t="s">
        <v>95</v>
      </c>
    </row>
    <row r="108" spans="1:7" x14ac:dyDescent="0.25">
      <c r="A108" s="20">
        <f t="shared" si="8"/>
        <v>104</v>
      </c>
      <c r="B108" s="20">
        <f t="shared" si="7"/>
        <v>37</v>
      </c>
      <c r="C108" t="s">
        <v>172</v>
      </c>
      <c r="D108" s="2">
        <v>45207</v>
      </c>
      <c r="E108">
        <f t="shared" si="5"/>
        <v>62</v>
      </c>
      <c r="F108">
        <f t="shared" si="4"/>
        <v>1</v>
      </c>
      <c r="G108" t="s">
        <v>95</v>
      </c>
    </row>
    <row r="109" spans="1:7" x14ac:dyDescent="0.25">
      <c r="A109" s="20">
        <f t="shared" si="8"/>
        <v>105</v>
      </c>
      <c r="B109" s="20">
        <f t="shared" si="7"/>
        <v>38</v>
      </c>
      <c r="C109" t="s">
        <v>36</v>
      </c>
      <c r="D109" s="2">
        <v>45214</v>
      </c>
      <c r="E109">
        <f t="shared" si="5"/>
        <v>63</v>
      </c>
      <c r="F109">
        <f t="shared" si="4"/>
        <v>1</v>
      </c>
      <c r="G109" t="s">
        <v>95</v>
      </c>
    </row>
    <row r="110" spans="1:7" x14ac:dyDescent="0.25">
      <c r="A110" s="20">
        <f t="shared" si="8"/>
        <v>106</v>
      </c>
      <c r="B110" s="20">
        <f t="shared" si="7"/>
        <v>39</v>
      </c>
      <c r="C110" t="s">
        <v>37</v>
      </c>
      <c r="D110" s="2">
        <v>45221</v>
      </c>
      <c r="E110">
        <f t="shared" si="5"/>
        <v>64</v>
      </c>
      <c r="F110">
        <f t="shared" ref="F110:F173" si="9">E110-E109</f>
        <v>1</v>
      </c>
      <c r="G110" t="s">
        <v>95</v>
      </c>
    </row>
    <row r="111" spans="1:7" x14ac:dyDescent="0.25">
      <c r="A111" s="20">
        <f t="shared" si="8"/>
        <v>107</v>
      </c>
      <c r="B111" s="20">
        <f t="shared" si="7"/>
        <v>40</v>
      </c>
      <c r="C111" t="s">
        <v>173</v>
      </c>
      <c r="D111" s="2">
        <v>45228</v>
      </c>
      <c r="E111">
        <f t="shared" ref="E111:E174" si="10">IF(OR(D111=D110,G111&lt;&gt;"NFC"),E110,E110+1)</f>
        <v>65</v>
      </c>
      <c r="F111">
        <f t="shared" si="9"/>
        <v>1</v>
      </c>
      <c r="G111" t="s">
        <v>95</v>
      </c>
    </row>
    <row r="112" spans="1:7" x14ac:dyDescent="0.25">
      <c r="A112" s="20">
        <f t="shared" si="8"/>
        <v>108</v>
      </c>
      <c r="B112" s="20">
        <f t="shared" si="7"/>
        <v>41</v>
      </c>
      <c r="C112" t="s">
        <v>38</v>
      </c>
      <c r="D112" s="2">
        <v>45235</v>
      </c>
      <c r="E112">
        <f t="shared" si="10"/>
        <v>66</v>
      </c>
      <c r="F112">
        <f t="shared" si="9"/>
        <v>1</v>
      </c>
      <c r="G112" t="s">
        <v>95</v>
      </c>
    </row>
    <row r="113" spans="1:7" x14ac:dyDescent="0.25">
      <c r="A113" s="20">
        <f t="shared" si="8"/>
        <v>109</v>
      </c>
      <c r="B113" s="20">
        <f t="shared" si="7"/>
        <v>42</v>
      </c>
      <c r="C113" t="s">
        <v>39</v>
      </c>
      <c r="D113" s="2">
        <v>45242</v>
      </c>
      <c r="E113">
        <f t="shared" si="10"/>
        <v>67</v>
      </c>
      <c r="F113">
        <f t="shared" si="9"/>
        <v>1</v>
      </c>
      <c r="G113" t="s">
        <v>95</v>
      </c>
    </row>
    <row r="114" spans="1:7" x14ac:dyDescent="0.25">
      <c r="A114" s="20">
        <f t="shared" si="8"/>
        <v>110</v>
      </c>
      <c r="B114" s="20">
        <f t="shared" si="7"/>
        <v>43</v>
      </c>
      <c r="C114" t="s">
        <v>174</v>
      </c>
      <c r="D114" s="2">
        <v>45249</v>
      </c>
      <c r="E114">
        <f t="shared" si="10"/>
        <v>68</v>
      </c>
      <c r="F114">
        <f t="shared" si="9"/>
        <v>1</v>
      </c>
      <c r="G114" t="s">
        <v>95</v>
      </c>
    </row>
    <row r="115" spans="1:7" x14ac:dyDescent="0.25">
      <c r="A115" s="20">
        <f t="shared" si="8"/>
        <v>111</v>
      </c>
      <c r="B115" s="20">
        <f t="shared" si="7"/>
        <v>44</v>
      </c>
      <c r="C115" t="s">
        <v>41</v>
      </c>
      <c r="D115" s="2">
        <v>45256</v>
      </c>
      <c r="E115">
        <f t="shared" si="10"/>
        <v>69</v>
      </c>
      <c r="F115">
        <f t="shared" si="9"/>
        <v>1</v>
      </c>
      <c r="G115" t="s">
        <v>95</v>
      </c>
    </row>
    <row r="116" spans="1:7" x14ac:dyDescent="0.25">
      <c r="A116" s="20">
        <f t="shared" si="8"/>
        <v>112</v>
      </c>
      <c r="B116" s="20">
        <f t="shared" si="7"/>
        <v>45</v>
      </c>
      <c r="C116" t="s">
        <v>175</v>
      </c>
      <c r="D116" s="2">
        <v>45263</v>
      </c>
      <c r="E116">
        <f t="shared" si="10"/>
        <v>70</v>
      </c>
      <c r="F116">
        <f t="shared" si="9"/>
        <v>1</v>
      </c>
      <c r="G116" t="s">
        <v>95</v>
      </c>
    </row>
    <row r="117" spans="1:7" x14ac:dyDescent="0.25">
      <c r="A117" s="20">
        <f t="shared" si="8"/>
        <v>113</v>
      </c>
      <c r="B117" s="20">
        <f t="shared" si="7"/>
        <v>46</v>
      </c>
      <c r="C117" t="s">
        <v>42</v>
      </c>
      <c r="D117" s="2">
        <v>45270</v>
      </c>
      <c r="E117">
        <f t="shared" si="10"/>
        <v>71</v>
      </c>
      <c r="F117">
        <f t="shared" si="9"/>
        <v>1</v>
      </c>
      <c r="G117" t="s">
        <v>95</v>
      </c>
    </row>
    <row r="118" spans="1:7" x14ac:dyDescent="0.25">
      <c r="A118" s="20">
        <f t="shared" si="8"/>
        <v>114</v>
      </c>
      <c r="B118" s="20">
        <f t="shared" si="7"/>
        <v>47</v>
      </c>
      <c r="C118" t="s">
        <v>43</v>
      </c>
      <c r="D118" s="2">
        <v>45277</v>
      </c>
      <c r="E118">
        <f t="shared" si="10"/>
        <v>72</v>
      </c>
      <c r="F118">
        <f t="shared" si="9"/>
        <v>1</v>
      </c>
      <c r="G118" t="s">
        <v>95</v>
      </c>
    </row>
    <row r="119" spans="1:7" x14ac:dyDescent="0.25">
      <c r="A119" s="20">
        <f t="shared" si="8"/>
        <v>115</v>
      </c>
      <c r="B119" s="20">
        <f t="shared" si="7"/>
        <v>1</v>
      </c>
      <c r="C119" t="s">
        <v>55</v>
      </c>
      <c r="D119" s="2">
        <v>45305</v>
      </c>
      <c r="E119">
        <f t="shared" si="10"/>
        <v>73</v>
      </c>
      <c r="F119">
        <f t="shared" si="9"/>
        <v>1</v>
      </c>
      <c r="G119" t="s">
        <v>95</v>
      </c>
    </row>
    <row r="120" spans="1:7" x14ac:dyDescent="0.25">
      <c r="A120" s="20">
        <f t="shared" si="8"/>
        <v>116</v>
      </c>
      <c r="B120" s="20">
        <f t="shared" si="7"/>
        <v>2</v>
      </c>
      <c r="C120" s="9" t="s">
        <v>70</v>
      </c>
      <c r="D120" s="2">
        <v>45312</v>
      </c>
      <c r="E120">
        <f t="shared" si="10"/>
        <v>74</v>
      </c>
      <c r="F120">
        <f t="shared" si="9"/>
        <v>1</v>
      </c>
      <c r="G120" t="s">
        <v>95</v>
      </c>
    </row>
    <row r="121" spans="1:7" x14ac:dyDescent="0.25">
      <c r="A121" s="20">
        <f t="shared" si="8"/>
        <v>117</v>
      </c>
      <c r="B121" s="20">
        <f t="shared" si="7"/>
        <v>3</v>
      </c>
      <c r="C121" t="s">
        <v>72</v>
      </c>
      <c r="D121" s="2">
        <v>45319</v>
      </c>
      <c r="E121">
        <f t="shared" si="10"/>
        <v>75</v>
      </c>
      <c r="F121">
        <f t="shared" si="9"/>
        <v>1</v>
      </c>
      <c r="G121" t="s">
        <v>95</v>
      </c>
    </row>
    <row r="122" spans="1:7" x14ac:dyDescent="0.25">
      <c r="A122" s="20">
        <f t="shared" si="8"/>
        <v>118</v>
      </c>
      <c r="B122" s="20">
        <f t="shared" si="7"/>
        <v>4</v>
      </c>
      <c r="C122" t="s">
        <v>74</v>
      </c>
      <c r="D122" s="2">
        <v>45326</v>
      </c>
      <c r="E122">
        <f t="shared" si="10"/>
        <v>76</v>
      </c>
      <c r="F122">
        <f t="shared" si="9"/>
        <v>1</v>
      </c>
      <c r="G122" t="s">
        <v>95</v>
      </c>
    </row>
    <row r="123" spans="1:7" x14ac:dyDescent="0.25">
      <c r="A123" s="20">
        <f t="shared" si="8"/>
        <v>119</v>
      </c>
      <c r="B123" s="20">
        <f t="shared" si="7"/>
        <v>5</v>
      </c>
      <c r="C123" t="s">
        <v>46</v>
      </c>
      <c r="D123" s="2">
        <v>45333</v>
      </c>
      <c r="E123">
        <f t="shared" si="10"/>
        <v>77</v>
      </c>
      <c r="F123">
        <f t="shared" si="9"/>
        <v>1</v>
      </c>
      <c r="G123" t="s">
        <v>95</v>
      </c>
    </row>
    <row r="124" spans="1:7" x14ac:dyDescent="0.25">
      <c r="A124" s="20">
        <f t="shared" si="8"/>
        <v>120</v>
      </c>
      <c r="B124" s="20">
        <f t="shared" si="7"/>
        <v>6</v>
      </c>
      <c r="C124" t="s">
        <v>61</v>
      </c>
      <c r="D124" s="2">
        <v>45340</v>
      </c>
      <c r="E124">
        <f t="shared" si="10"/>
        <v>78</v>
      </c>
      <c r="F124">
        <f t="shared" si="9"/>
        <v>1</v>
      </c>
      <c r="G124" t="s">
        <v>95</v>
      </c>
    </row>
    <row r="125" spans="1:7" x14ac:dyDescent="0.25">
      <c r="A125" s="20">
        <f t="shared" si="8"/>
        <v>121</v>
      </c>
      <c r="B125" s="20">
        <f t="shared" si="7"/>
        <v>7</v>
      </c>
      <c r="C125" t="s">
        <v>48</v>
      </c>
      <c r="D125" s="2">
        <v>45347</v>
      </c>
      <c r="E125">
        <f t="shared" si="10"/>
        <v>79</v>
      </c>
      <c r="F125">
        <f t="shared" si="9"/>
        <v>1</v>
      </c>
      <c r="G125" t="s">
        <v>95</v>
      </c>
    </row>
    <row r="126" spans="1:7" x14ac:dyDescent="0.25">
      <c r="A126" s="20">
        <f t="shared" si="8"/>
        <v>122</v>
      </c>
      <c r="B126" s="20">
        <f t="shared" si="7"/>
        <v>8</v>
      </c>
      <c r="C126" t="s">
        <v>64</v>
      </c>
      <c r="D126" s="2">
        <v>45354</v>
      </c>
      <c r="E126">
        <f t="shared" si="10"/>
        <v>80</v>
      </c>
      <c r="F126">
        <f t="shared" si="9"/>
        <v>1</v>
      </c>
      <c r="G126" t="s">
        <v>95</v>
      </c>
    </row>
    <row r="127" spans="1:7" x14ac:dyDescent="0.25">
      <c r="A127" s="20">
        <f t="shared" si="8"/>
        <v>123</v>
      </c>
      <c r="B127" s="20">
        <f t="shared" si="7"/>
        <v>9</v>
      </c>
      <c r="C127" t="s">
        <v>59</v>
      </c>
      <c r="D127" s="2">
        <v>45361</v>
      </c>
      <c r="E127">
        <f t="shared" si="10"/>
        <v>81</v>
      </c>
      <c r="F127">
        <f t="shared" si="9"/>
        <v>1</v>
      </c>
      <c r="G127" t="s">
        <v>95</v>
      </c>
    </row>
    <row r="128" spans="1:7" x14ac:dyDescent="0.25">
      <c r="A128" s="20">
        <f t="shared" si="8"/>
        <v>124</v>
      </c>
      <c r="B128" s="20">
        <f t="shared" si="7"/>
        <v>10</v>
      </c>
      <c r="C128" t="s">
        <v>176</v>
      </c>
      <c r="D128" s="2">
        <v>45368</v>
      </c>
      <c r="E128">
        <f t="shared" si="10"/>
        <v>82</v>
      </c>
      <c r="F128">
        <f t="shared" si="9"/>
        <v>1</v>
      </c>
      <c r="G128" t="s">
        <v>95</v>
      </c>
    </row>
    <row r="129" spans="1:7" x14ac:dyDescent="0.25">
      <c r="A129" s="20">
        <f t="shared" si="8"/>
        <v>125</v>
      </c>
      <c r="B129" s="20">
        <f t="shared" si="7"/>
        <v>11</v>
      </c>
      <c r="C129" t="s">
        <v>73</v>
      </c>
      <c r="D129" s="2">
        <v>45375</v>
      </c>
      <c r="E129">
        <f t="shared" si="10"/>
        <v>83</v>
      </c>
      <c r="F129">
        <f t="shared" si="9"/>
        <v>1</v>
      </c>
      <c r="G129" t="s">
        <v>95</v>
      </c>
    </row>
    <row r="130" spans="1:7" x14ac:dyDescent="0.25">
      <c r="A130" s="20">
        <f t="shared" si="8"/>
        <v>126</v>
      </c>
      <c r="B130" s="20">
        <f t="shared" si="7"/>
        <v>12</v>
      </c>
      <c r="C130" t="s">
        <v>49</v>
      </c>
      <c r="D130" s="2">
        <v>45382</v>
      </c>
      <c r="E130">
        <f t="shared" si="10"/>
        <v>84</v>
      </c>
      <c r="F130">
        <f t="shared" si="9"/>
        <v>1</v>
      </c>
      <c r="G130" t="s">
        <v>95</v>
      </c>
    </row>
    <row r="131" spans="1:7" x14ac:dyDescent="0.25">
      <c r="A131" s="20">
        <f t="shared" si="8"/>
        <v>127</v>
      </c>
      <c r="B131" s="20">
        <f t="shared" ref="B131:B194" si="11">IFERROR(IF(G131&lt;&gt;"NFC",B130,
IF(D131=D130,B130,IF(YEAR(D131)&lt;&gt;YEAR(D130),1,B130+1))),1)</f>
        <v>13</v>
      </c>
      <c r="C131" s="9" t="s">
        <v>66</v>
      </c>
      <c r="D131" s="2">
        <v>45389</v>
      </c>
      <c r="E131">
        <f t="shared" si="10"/>
        <v>85</v>
      </c>
      <c r="F131">
        <f t="shared" si="9"/>
        <v>1</v>
      </c>
      <c r="G131" t="s">
        <v>95</v>
      </c>
    </row>
    <row r="132" spans="1:7" x14ac:dyDescent="0.25">
      <c r="A132" s="20">
        <f t="shared" ref="A132:A195" si="12">IF(G132&lt;&gt;"NFC",A131,IF(D132=D131,A131,A131+1))</f>
        <v>128</v>
      </c>
      <c r="B132" s="20">
        <f t="shared" si="11"/>
        <v>14</v>
      </c>
      <c r="C132" t="s">
        <v>62</v>
      </c>
      <c r="D132" s="2">
        <v>45396</v>
      </c>
      <c r="E132">
        <f t="shared" si="10"/>
        <v>86</v>
      </c>
      <c r="F132">
        <f t="shared" si="9"/>
        <v>1</v>
      </c>
      <c r="G132" t="s">
        <v>95</v>
      </c>
    </row>
    <row r="133" spans="1:7" x14ac:dyDescent="0.25">
      <c r="A133" s="20">
        <f t="shared" si="12"/>
        <v>129</v>
      </c>
      <c r="B133" s="20">
        <f t="shared" si="11"/>
        <v>15</v>
      </c>
      <c r="C133" t="s">
        <v>53</v>
      </c>
      <c r="D133" s="2">
        <v>45403</v>
      </c>
      <c r="E133">
        <f t="shared" si="10"/>
        <v>87</v>
      </c>
      <c r="F133">
        <f t="shared" si="9"/>
        <v>1</v>
      </c>
      <c r="G133" t="s">
        <v>95</v>
      </c>
    </row>
    <row r="134" spans="1:7" x14ac:dyDescent="0.25">
      <c r="A134" s="20">
        <f t="shared" si="12"/>
        <v>130</v>
      </c>
      <c r="B134" s="20">
        <f t="shared" si="11"/>
        <v>16</v>
      </c>
      <c r="C134" t="s">
        <v>57</v>
      </c>
      <c r="D134" s="2">
        <v>45410</v>
      </c>
      <c r="E134">
        <f t="shared" si="10"/>
        <v>88</v>
      </c>
      <c r="F134">
        <f t="shared" si="9"/>
        <v>1</v>
      </c>
      <c r="G134" t="s">
        <v>95</v>
      </c>
    </row>
    <row r="135" spans="1:7" x14ac:dyDescent="0.25">
      <c r="A135" s="20">
        <f t="shared" si="12"/>
        <v>131</v>
      </c>
      <c r="B135" s="20">
        <f t="shared" si="11"/>
        <v>17</v>
      </c>
      <c r="C135" t="s">
        <v>76</v>
      </c>
      <c r="D135" s="2">
        <v>45417</v>
      </c>
      <c r="E135">
        <f t="shared" si="10"/>
        <v>89</v>
      </c>
      <c r="F135">
        <f t="shared" si="9"/>
        <v>1</v>
      </c>
      <c r="G135" t="s">
        <v>95</v>
      </c>
    </row>
    <row r="136" spans="1:7" x14ac:dyDescent="0.25">
      <c r="A136" s="20">
        <f t="shared" si="12"/>
        <v>132</v>
      </c>
      <c r="B136" s="20">
        <f t="shared" si="11"/>
        <v>18</v>
      </c>
      <c r="C136" t="s">
        <v>77</v>
      </c>
      <c r="D136" s="2">
        <v>45424</v>
      </c>
      <c r="E136">
        <f t="shared" si="10"/>
        <v>90</v>
      </c>
      <c r="F136">
        <f t="shared" si="9"/>
        <v>1</v>
      </c>
      <c r="G136" t="s">
        <v>95</v>
      </c>
    </row>
    <row r="137" spans="1:7" x14ac:dyDescent="0.25">
      <c r="A137" s="20">
        <f t="shared" si="12"/>
        <v>133</v>
      </c>
      <c r="B137" s="20">
        <f t="shared" si="11"/>
        <v>19</v>
      </c>
      <c r="C137" t="s">
        <v>177</v>
      </c>
      <c r="D137" s="2">
        <v>45431</v>
      </c>
      <c r="E137">
        <f t="shared" si="10"/>
        <v>91</v>
      </c>
      <c r="F137">
        <f t="shared" si="9"/>
        <v>1</v>
      </c>
      <c r="G137" t="s">
        <v>95</v>
      </c>
    </row>
    <row r="138" spans="1:7" x14ac:dyDescent="0.25">
      <c r="A138" s="20">
        <f t="shared" si="12"/>
        <v>134</v>
      </c>
      <c r="B138" s="20">
        <f t="shared" si="11"/>
        <v>20</v>
      </c>
      <c r="C138" t="s">
        <v>71</v>
      </c>
      <c r="D138" s="2">
        <v>45438</v>
      </c>
      <c r="E138">
        <f t="shared" si="10"/>
        <v>92</v>
      </c>
      <c r="F138">
        <f t="shared" si="9"/>
        <v>1</v>
      </c>
      <c r="G138" t="s">
        <v>95</v>
      </c>
    </row>
    <row r="139" spans="1:7" x14ac:dyDescent="0.25">
      <c r="A139" s="20">
        <f t="shared" si="12"/>
        <v>135</v>
      </c>
      <c r="B139" s="20">
        <f t="shared" si="11"/>
        <v>21</v>
      </c>
      <c r="C139" t="s">
        <v>51</v>
      </c>
      <c r="D139" s="2">
        <v>45445</v>
      </c>
      <c r="E139">
        <f t="shared" si="10"/>
        <v>93</v>
      </c>
      <c r="F139">
        <f t="shared" si="9"/>
        <v>1</v>
      </c>
      <c r="G139" t="s">
        <v>95</v>
      </c>
    </row>
    <row r="140" spans="1:7" x14ac:dyDescent="0.25">
      <c r="A140" s="20">
        <f t="shared" si="12"/>
        <v>136</v>
      </c>
      <c r="B140" s="20">
        <f t="shared" si="11"/>
        <v>22</v>
      </c>
      <c r="C140" t="s">
        <v>52</v>
      </c>
      <c r="D140" s="2">
        <v>45452</v>
      </c>
      <c r="E140">
        <f t="shared" si="10"/>
        <v>94</v>
      </c>
      <c r="F140">
        <f t="shared" si="9"/>
        <v>1</v>
      </c>
      <c r="G140" t="s">
        <v>95</v>
      </c>
    </row>
    <row r="141" spans="1:7" x14ac:dyDescent="0.25">
      <c r="A141" s="20">
        <f t="shared" si="12"/>
        <v>137</v>
      </c>
      <c r="B141" s="20">
        <f t="shared" si="11"/>
        <v>23</v>
      </c>
      <c r="C141" t="s">
        <v>58</v>
      </c>
      <c r="D141" s="2">
        <v>45459</v>
      </c>
      <c r="E141">
        <f t="shared" si="10"/>
        <v>95</v>
      </c>
      <c r="F141">
        <f t="shared" si="9"/>
        <v>1</v>
      </c>
      <c r="G141" t="s">
        <v>95</v>
      </c>
    </row>
    <row r="142" spans="1:7" x14ac:dyDescent="0.25">
      <c r="A142" s="20">
        <f t="shared" si="12"/>
        <v>138</v>
      </c>
      <c r="B142" s="20">
        <f t="shared" si="11"/>
        <v>24</v>
      </c>
      <c r="C142" t="s">
        <v>50</v>
      </c>
      <c r="D142" s="2">
        <v>45466</v>
      </c>
      <c r="E142">
        <f t="shared" si="10"/>
        <v>96</v>
      </c>
      <c r="F142">
        <f t="shared" si="9"/>
        <v>1</v>
      </c>
      <c r="G142" t="s">
        <v>95</v>
      </c>
    </row>
    <row r="143" spans="1:7" x14ac:dyDescent="0.25">
      <c r="A143" s="20">
        <f t="shared" si="12"/>
        <v>139</v>
      </c>
      <c r="B143" s="20">
        <f t="shared" si="11"/>
        <v>25</v>
      </c>
      <c r="C143" t="s">
        <v>69</v>
      </c>
      <c r="D143" s="2">
        <v>45473</v>
      </c>
      <c r="E143">
        <f t="shared" si="10"/>
        <v>97</v>
      </c>
      <c r="F143">
        <f t="shared" si="9"/>
        <v>1</v>
      </c>
      <c r="G143" t="s">
        <v>95</v>
      </c>
    </row>
    <row r="144" spans="1:7" x14ac:dyDescent="0.25">
      <c r="A144" s="20">
        <f t="shared" si="12"/>
        <v>140</v>
      </c>
      <c r="B144" s="20">
        <f t="shared" si="11"/>
        <v>26</v>
      </c>
      <c r="C144" t="s">
        <v>178</v>
      </c>
      <c r="D144" s="2">
        <v>45480</v>
      </c>
      <c r="E144">
        <f t="shared" si="10"/>
        <v>98</v>
      </c>
      <c r="F144">
        <f t="shared" si="9"/>
        <v>1</v>
      </c>
      <c r="G144" t="s">
        <v>95</v>
      </c>
    </row>
    <row r="145" spans="1:7" x14ac:dyDescent="0.25">
      <c r="A145" s="20">
        <f t="shared" si="12"/>
        <v>141</v>
      </c>
      <c r="B145" s="20">
        <f t="shared" si="11"/>
        <v>27</v>
      </c>
      <c r="C145" t="s">
        <v>63</v>
      </c>
      <c r="D145" s="2">
        <v>45494</v>
      </c>
      <c r="E145">
        <f t="shared" si="10"/>
        <v>99</v>
      </c>
      <c r="F145">
        <f t="shared" si="9"/>
        <v>1</v>
      </c>
      <c r="G145" t="s">
        <v>95</v>
      </c>
    </row>
    <row r="146" spans="1:7" x14ac:dyDescent="0.25">
      <c r="A146" s="20">
        <f t="shared" si="12"/>
        <v>142</v>
      </c>
      <c r="B146" s="20">
        <f t="shared" si="11"/>
        <v>28</v>
      </c>
      <c r="C146" t="s">
        <v>56</v>
      </c>
      <c r="D146" s="2">
        <v>45501</v>
      </c>
      <c r="E146">
        <f t="shared" si="10"/>
        <v>100</v>
      </c>
      <c r="F146">
        <f t="shared" si="9"/>
        <v>1</v>
      </c>
      <c r="G146" t="s">
        <v>95</v>
      </c>
    </row>
    <row r="147" spans="1:7" x14ac:dyDescent="0.25">
      <c r="A147" s="20">
        <f t="shared" si="12"/>
        <v>143</v>
      </c>
      <c r="B147" s="20">
        <f t="shared" si="11"/>
        <v>29</v>
      </c>
      <c r="C147" s="9" t="s">
        <v>47</v>
      </c>
      <c r="D147" s="2">
        <v>45508</v>
      </c>
      <c r="E147">
        <f t="shared" si="10"/>
        <v>101</v>
      </c>
      <c r="F147">
        <f t="shared" si="9"/>
        <v>1</v>
      </c>
      <c r="G147" t="s">
        <v>95</v>
      </c>
    </row>
    <row r="148" spans="1:7" x14ac:dyDescent="0.25">
      <c r="A148" s="20">
        <f t="shared" si="12"/>
        <v>144</v>
      </c>
      <c r="B148" s="20">
        <f t="shared" si="11"/>
        <v>30</v>
      </c>
      <c r="C148" t="s">
        <v>179</v>
      </c>
      <c r="D148" s="2">
        <v>45515</v>
      </c>
      <c r="E148">
        <f t="shared" si="10"/>
        <v>102</v>
      </c>
      <c r="F148">
        <f t="shared" si="9"/>
        <v>1</v>
      </c>
      <c r="G148" t="s">
        <v>95</v>
      </c>
    </row>
    <row r="149" spans="1:7" x14ac:dyDescent="0.25">
      <c r="A149" s="20">
        <f t="shared" si="12"/>
        <v>145</v>
      </c>
      <c r="B149" s="20">
        <f t="shared" si="11"/>
        <v>31</v>
      </c>
      <c r="C149" t="s">
        <v>180</v>
      </c>
      <c r="D149" s="2">
        <v>45522</v>
      </c>
      <c r="E149">
        <f t="shared" si="10"/>
        <v>103</v>
      </c>
      <c r="F149">
        <f t="shared" si="9"/>
        <v>1</v>
      </c>
      <c r="G149" t="s">
        <v>95</v>
      </c>
    </row>
    <row r="150" spans="1:7" x14ac:dyDescent="0.25">
      <c r="A150" s="20">
        <f t="shared" si="12"/>
        <v>146</v>
      </c>
      <c r="B150" s="20">
        <f t="shared" si="11"/>
        <v>32</v>
      </c>
      <c r="C150" t="s">
        <v>68</v>
      </c>
      <c r="D150" s="2">
        <v>45529</v>
      </c>
      <c r="E150">
        <f t="shared" si="10"/>
        <v>104</v>
      </c>
      <c r="F150">
        <f t="shared" si="9"/>
        <v>1</v>
      </c>
      <c r="G150" t="s">
        <v>95</v>
      </c>
    </row>
    <row r="151" spans="1:7" x14ac:dyDescent="0.25">
      <c r="A151" s="20">
        <f t="shared" si="12"/>
        <v>147</v>
      </c>
      <c r="B151" s="20">
        <f t="shared" si="11"/>
        <v>33</v>
      </c>
      <c r="C151" t="s">
        <v>181</v>
      </c>
      <c r="D151" s="2">
        <v>45536</v>
      </c>
      <c r="E151">
        <f t="shared" si="10"/>
        <v>105</v>
      </c>
      <c r="F151">
        <f t="shared" si="9"/>
        <v>1</v>
      </c>
      <c r="G151" t="s">
        <v>95</v>
      </c>
    </row>
    <row r="152" spans="1:7" x14ac:dyDescent="0.25">
      <c r="A152" s="20">
        <f t="shared" si="12"/>
        <v>148</v>
      </c>
      <c r="B152" s="20">
        <f t="shared" si="11"/>
        <v>34</v>
      </c>
      <c r="C152" t="s">
        <v>44</v>
      </c>
      <c r="D152" s="2">
        <v>45543</v>
      </c>
      <c r="E152">
        <f t="shared" si="10"/>
        <v>106</v>
      </c>
      <c r="F152">
        <f t="shared" si="9"/>
        <v>1</v>
      </c>
      <c r="G152" t="s">
        <v>95</v>
      </c>
    </row>
    <row r="153" spans="1:7" x14ac:dyDescent="0.25">
      <c r="A153" s="20">
        <f t="shared" si="12"/>
        <v>149</v>
      </c>
      <c r="B153" s="20">
        <f t="shared" si="11"/>
        <v>35</v>
      </c>
      <c r="C153" t="s">
        <v>182</v>
      </c>
      <c r="D153" s="2">
        <v>45550</v>
      </c>
      <c r="E153">
        <f t="shared" si="10"/>
        <v>107</v>
      </c>
      <c r="F153">
        <f t="shared" si="9"/>
        <v>1</v>
      </c>
      <c r="G153" t="s">
        <v>95</v>
      </c>
    </row>
    <row r="154" spans="1:7" x14ac:dyDescent="0.25">
      <c r="A154" s="20">
        <f t="shared" si="12"/>
        <v>150</v>
      </c>
      <c r="B154" s="20">
        <f t="shared" si="11"/>
        <v>36</v>
      </c>
      <c r="C154" t="s">
        <v>67</v>
      </c>
      <c r="D154" s="2">
        <v>45557</v>
      </c>
      <c r="E154">
        <f t="shared" si="10"/>
        <v>108</v>
      </c>
      <c r="F154">
        <f t="shared" si="9"/>
        <v>1</v>
      </c>
      <c r="G154" t="s">
        <v>95</v>
      </c>
    </row>
    <row r="155" spans="1:7" x14ac:dyDescent="0.25">
      <c r="A155" s="20">
        <f t="shared" si="12"/>
        <v>151</v>
      </c>
      <c r="B155" s="20">
        <f t="shared" si="11"/>
        <v>37</v>
      </c>
      <c r="C155" t="s">
        <v>183</v>
      </c>
      <c r="D155" s="2">
        <v>45564</v>
      </c>
      <c r="E155">
        <f t="shared" si="10"/>
        <v>109</v>
      </c>
      <c r="F155">
        <f t="shared" si="9"/>
        <v>1</v>
      </c>
      <c r="G155" t="s">
        <v>95</v>
      </c>
    </row>
    <row r="156" spans="1:7" x14ac:dyDescent="0.25">
      <c r="A156" s="20">
        <f t="shared" si="12"/>
        <v>152</v>
      </c>
      <c r="B156" s="20">
        <f t="shared" si="11"/>
        <v>38</v>
      </c>
      <c r="C156" t="s">
        <v>184</v>
      </c>
      <c r="D156" s="2">
        <v>45571</v>
      </c>
      <c r="E156">
        <f t="shared" si="10"/>
        <v>110</v>
      </c>
      <c r="F156">
        <f t="shared" si="9"/>
        <v>1</v>
      </c>
      <c r="G156" t="s">
        <v>95</v>
      </c>
    </row>
    <row r="157" spans="1:7" x14ac:dyDescent="0.25">
      <c r="A157" s="20">
        <f t="shared" si="12"/>
        <v>153</v>
      </c>
      <c r="B157" s="20">
        <f t="shared" si="11"/>
        <v>39</v>
      </c>
      <c r="C157" t="s">
        <v>185</v>
      </c>
      <c r="D157" s="2">
        <v>45578</v>
      </c>
      <c r="E157">
        <f t="shared" si="10"/>
        <v>111</v>
      </c>
      <c r="F157">
        <f t="shared" si="9"/>
        <v>1</v>
      </c>
      <c r="G157" t="s">
        <v>95</v>
      </c>
    </row>
    <row r="158" spans="1:7" x14ac:dyDescent="0.25">
      <c r="A158" s="20">
        <f t="shared" si="12"/>
        <v>154</v>
      </c>
      <c r="B158" s="20">
        <f t="shared" si="11"/>
        <v>40</v>
      </c>
      <c r="C158" t="s">
        <v>60</v>
      </c>
      <c r="D158" s="2">
        <v>45585</v>
      </c>
      <c r="E158">
        <f t="shared" si="10"/>
        <v>112</v>
      </c>
      <c r="F158">
        <f t="shared" si="9"/>
        <v>1</v>
      </c>
      <c r="G158" t="s">
        <v>95</v>
      </c>
    </row>
    <row r="159" spans="1:7" x14ac:dyDescent="0.25">
      <c r="A159" s="20">
        <f t="shared" si="12"/>
        <v>155</v>
      </c>
      <c r="B159" s="20">
        <f t="shared" si="11"/>
        <v>41</v>
      </c>
      <c r="C159" t="s">
        <v>75</v>
      </c>
      <c r="D159" s="2">
        <v>45592</v>
      </c>
      <c r="E159">
        <f t="shared" si="10"/>
        <v>113</v>
      </c>
      <c r="F159">
        <f t="shared" si="9"/>
        <v>1</v>
      </c>
      <c r="G159" t="s">
        <v>95</v>
      </c>
    </row>
    <row r="160" spans="1:7" x14ac:dyDescent="0.25">
      <c r="A160" s="20">
        <f t="shared" si="12"/>
        <v>156</v>
      </c>
      <c r="B160" s="20">
        <f t="shared" si="11"/>
        <v>42</v>
      </c>
      <c r="C160" t="s">
        <v>65</v>
      </c>
      <c r="D160" s="2">
        <v>45599</v>
      </c>
      <c r="E160">
        <f t="shared" si="10"/>
        <v>114</v>
      </c>
      <c r="F160">
        <f t="shared" si="9"/>
        <v>1</v>
      </c>
      <c r="G160" t="s">
        <v>95</v>
      </c>
    </row>
    <row r="161" spans="1:7" x14ac:dyDescent="0.25">
      <c r="A161" s="20">
        <f t="shared" si="12"/>
        <v>157</v>
      </c>
      <c r="B161" s="20">
        <f t="shared" si="11"/>
        <v>43</v>
      </c>
      <c r="C161" t="s">
        <v>186</v>
      </c>
      <c r="D161" s="2">
        <v>45606</v>
      </c>
      <c r="E161">
        <f t="shared" si="10"/>
        <v>115</v>
      </c>
      <c r="F161">
        <f t="shared" si="9"/>
        <v>1</v>
      </c>
      <c r="G161" t="s">
        <v>95</v>
      </c>
    </row>
    <row r="162" spans="1:7" x14ac:dyDescent="0.25">
      <c r="A162" s="20">
        <f t="shared" si="12"/>
        <v>158</v>
      </c>
      <c r="B162" s="20">
        <f t="shared" si="11"/>
        <v>44</v>
      </c>
      <c r="C162" t="s">
        <v>187</v>
      </c>
      <c r="D162" s="2">
        <v>45613</v>
      </c>
      <c r="E162">
        <f t="shared" si="10"/>
        <v>116</v>
      </c>
      <c r="F162">
        <f t="shared" si="9"/>
        <v>1</v>
      </c>
      <c r="G162" t="s">
        <v>95</v>
      </c>
    </row>
    <row r="163" spans="1:7" x14ac:dyDescent="0.25">
      <c r="A163" s="20">
        <f t="shared" si="12"/>
        <v>159</v>
      </c>
      <c r="B163" s="20">
        <f t="shared" si="11"/>
        <v>45</v>
      </c>
      <c r="C163" t="s">
        <v>188</v>
      </c>
      <c r="D163" s="2">
        <v>45620</v>
      </c>
      <c r="E163">
        <f t="shared" si="10"/>
        <v>117</v>
      </c>
      <c r="F163">
        <f t="shared" si="9"/>
        <v>1</v>
      </c>
      <c r="G163" t="s">
        <v>95</v>
      </c>
    </row>
    <row r="164" spans="1:7" x14ac:dyDescent="0.25">
      <c r="A164" s="20">
        <f t="shared" si="12"/>
        <v>160</v>
      </c>
      <c r="B164" s="20">
        <f t="shared" si="11"/>
        <v>46</v>
      </c>
      <c r="C164" t="s">
        <v>54</v>
      </c>
      <c r="D164" s="2">
        <v>45627</v>
      </c>
      <c r="E164">
        <f t="shared" si="10"/>
        <v>118</v>
      </c>
      <c r="F164">
        <f t="shared" si="9"/>
        <v>1</v>
      </c>
      <c r="G164" t="s">
        <v>95</v>
      </c>
    </row>
    <row r="165" spans="1:7" x14ac:dyDescent="0.25">
      <c r="A165" s="20">
        <f t="shared" si="12"/>
        <v>161</v>
      </c>
      <c r="B165" s="20">
        <f t="shared" si="11"/>
        <v>47</v>
      </c>
      <c r="C165" t="s">
        <v>189</v>
      </c>
      <c r="D165" s="2">
        <v>45634</v>
      </c>
      <c r="E165">
        <f t="shared" si="10"/>
        <v>119</v>
      </c>
      <c r="F165">
        <f t="shared" si="9"/>
        <v>1</v>
      </c>
      <c r="G165" t="s">
        <v>95</v>
      </c>
    </row>
    <row r="166" spans="1:7" x14ac:dyDescent="0.25">
      <c r="A166" s="20">
        <f t="shared" si="12"/>
        <v>162</v>
      </c>
      <c r="B166" s="20">
        <f t="shared" si="11"/>
        <v>48</v>
      </c>
      <c r="C166" t="s">
        <v>190</v>
      </c>
      <c r="D166" s="2">
        <v>45641</v>
      </c>
      <c r="E166">
        <f t="shared" si="10"/>
        <v>120</v>
      </c>
      <c r="F166">
        <f t="shared" si="9"/>
        <v>1</v>
      </c>
      <c r="G166" t="s">
        <v>95</v>
      </c>
    </row>
    <row r="167" spans="1:7" x14ac:dyDescent="0.25">
      <c r="A167" s="20">
        <f t="shared" si="12"/>
        <v>163</v>
      </c>
      <c r="B167" s="20">
        <f t="shared" si="11"/>
        <v>49</v>
      </c>
      <c r="C167" t="s">
        <v>78</v>
      </c>
      <c r="D167" s="2">
        <v>45648</v>
      </c>
      <c r="E167">
        <f t="shared" si="10"/>
        <v>121</v>
      </c>
      <c r="F167">
        <f t="shared" si="9"/>
        <v>1</v>
      </c>
      <c r="G167" t="s">
        <v>95</v>
      </c>
    </row>
    <row r="168" spans="1:7" x14ac:dyDescent="0.25">
      <c r="A168" s="20">
        <f t="shared" si="12"/>
        <v>164</v>
      </c>
      <c r="B168" s="20">
        <f t="shared" si="11"/>
        <v>1</v>
      </c>
      <c r="C168" t="s">
        <v>191</v>
      </c>
      <c r="D168" s="2">
        <v>45676</v>
      </c>
      <c r="E168">
        <f t="shared" si="10"/>
        <v>122</v>
      </c>
      <c r="F168">
        <f t="shared" si="9"/>
        <v>1</v>
      </c>
      <c r="G168" t="s">
        <v>95</v>
      </c>
    </row>
    <row r="169" spans="1:7" x14ac:dyDescent="0.25">
      <c r="A169" s="20">
        <f t="shared" si="12"/>
        <v>165</v>
      </c>
      <c r="B169" s="20">
        <f t="shared" si="11"/>
        <v>2</v>
      </c>
      <c r="C169" t="s">
        <v>192</v>
      </c>
      <c r="D169" s="2">
        <v>45683</v>
      </c>
      <c r="E169">
        <f t="shared" si="10"/>
        <v>123</v>
      </c>
      <c r="F169">
        <f t="shared" si="9"/>
        <v>1</v>
      </c>
      <c r="G169" t="s">
        <v>95</v>
      </c>
    </row>
    <row r="170" spans="1:7" x14ac:dyDescent="0.25">
      <c r="A170" s="20">
        <f t="shared" si="12"/>
        <v>166</v>
      </c>
      <c r="B170" s="20">
        <f t="shared" si="11"/>
        <v>3</v>
      </c>
      <c r="C170" t="s">
        <v>193</v>
      </c>
      <c r="D170" s="2">
        <v>45690</v>
      </c>
      <c r="E170">
        <f t="shared" si="10"/>
        <v>124</v>
      </c>
      <c r="F170">
        <f t="shared" si="9"/>
        <v>1</v>
      </c>
      <c r="G170" t="s">
        <v>95</v>
      </c>
    </row>
    <row r="171" spans="1:7" x14ac:dyDescent="0.25">
      <c r="A171" s="20">
        <f t="shared" si="12"/>
        <v>167</v>
      </c>
      <c r="B171" s="20">
        <f t="shared" si="11"/>
        <v>4</v>
      </c>
      <c r="C171" t="s">
        <v>194</v>
      </c>
      <c r="D171" s="2">
        <v>45697</v>
      </c>
      <c r="E171">
        <f t="shared" si="10"/>
        <v>125</v>
      </c>
      <c r="F171">
        <f t="shared" si="9"/>
        <v>1</v>
      </c>
      <c r="G171" t="s">
        <v>95</v>
      </c>
    </row>
    <row r="172" spans="1:7" x14ac:dyDescent="0.25">
      <c r="A172" s="20">
        <f t="shared" si="12"/>
        <v>168</v>
      </c>
      <c r="B172" s="20">
        <f t="shared" si="11"/>
        <v>5</v>
      </c>
      <c r="C172" t="s">
        <v>195</v>
      </c>
      <c r="D172" s="2">
        <v>45704</v>
      </c>
      <c r="E172">
        <f t="shared" si="10"/>
        <v>126</v>
      </c>
      <c r="F172">
        <f t="shared" si="9"/>
        <v>1</v>
      </c>
      <c r="G172" t="s">
        <v>95</v>
      </c>
    </row>
    <row r="173" spans="1:7" x14ac:dyDescent="0.25">
      <c r="A173" s="20">
        <f t="shared" si="12"/>
        <v>169</v>
      </c>
      <c r="B173" s="20">
        <f t="shared" si="11"/>
        <v>6</v>
      </c>
      <c r="C173" t="s">
        <v>196</v>
      </c>
      <c r="D173" s="2">
        <v>45711</v>
      </c>
      <c r="E173">
        <f t="shared" si="10"/>
        <v>127</v>
      </c>
      <c r="F173">
        <f t="shared" si="9"/>
        <v>1</v>
      </c>
      <c r="G173" t="s">
        <v>95</v>
      </c>
    </row>
    <row r="174" spans="1:7" x14ac:dyDescent="0.25">
      <c r="A174" s="20">
        <f t="shared" si="12"/>
        <v>170</v>
      </c>
      <c r="B174" s="20">
        <f t="shared" si="11"/>
        <v>7</v>
      </c>
      <c r="C174" t="s">
        <v>197</v>
      </c>
      <c r="D174" s="2">
        <v>45718</v>
      </c>
      <c r="E174">
        <f t="shared" si="10"/>
        <v>128</v>
      </c>
      <c r="F174">
        <f t="shared" ref="F174:F212" si="13">E174-E173</f>
        <v>1</v>
      </c>
      <c r="G174" t="s">
        <v>95</v>
      </c>
    </row>
    <row r="175" spans="1:7" x14ac:dyDescent="0.25">
      <c r="A175" s="20">
        <f t="shared" si="12"/>
        <v>171</v>
      </c>
      <c r="B175" s="20">
        <f t="shared" si="11"/>
        <v>8</v>
      </c>
      <c r="C175" t="s">
        <v>198</v>
      </c>
      <c r="D175" s="2">
        <v>45725</v>
      </c>
      <c r="E175">
        <f t="shared" ref="E175:E212" si="14">IF(OR(D175=D174,G175&lt;&gt;"NFC"),E174,E174+1)</f>
        <v>129</v>
      </c>
      <c r="F175">
        <f t="shared" si="13"/>
        <v>1</v>
      </c>
      <c r="G175" t="s">
        <v>95</v>
      </c>
    </row>
    <row r="176" spans="1:7" x14ac:dyDescent="0.25">
      <c r="A176" s="20">
        <f t="shared" si="12"/>
        <v>172</v>
      </c>
      <c r="B176" s="20">
        <f t="shared" si="11"/>
        <v>9</v>
      </c>
      <c r="C176" t="s">
        <v>79</v>
      </c>
      <c r="D176" s="2">
        <v>45732</v>
      </c>
      <c r="E176">
        <f t="shared" si="14"/>
        <v>130</v>
      </c>
      <c r="F176">
        <f t="shared" si="13"/>
        <v>1</v>
      </c>
      <c r="G176" t="s">
        <v>95</v>
      </c>
    </row>
    <row r="177" spans="1:7" x14ac:dyDescent="0.25">
      <c r="A177" s="20">
        <f t="shared" si="12"/>
        <v>173</v>
      </c>
      <c r="B177" s="20">
        <f t="shared" si="11"/>
        <v>10</v>
      </c>
      <c r="C177" t="s">
        <v>80</v>
      </c>
      <c r="D177" s="2">
        <v>45739</v>
      </c>
      <c r="E177">
        <f t="shared" si="14"/>
        <v>131</v>
      </c>
      <c r="F177">
        <f t="shared" si="13"/>
        <v>1</v>
      </c>
      <c r="G177" t="s">
        <v>95</v>
      </c>
    </row>
    <row r="178" spans="1:7" x14ac:dyDescent="0.25">
      <c r="A178" s="20">
        <f t="shared" si="12"/>
        <v>174</v>
      </c>
      <c r="B178" s="20">
        <f t="shared" si="11"/>
        <v>11</v>
      </c>
      <c r="C178" t="s">
        <v>199</v>
      </c>
      <c r="D178" s="2">
        <v>45746</v>
      </c>
      <c r="E178">
        <f t="shared" si="14"/>
        <v>132</v>
      </c>
      <c r="F178">
        <f t="shared" si="13"/>
        <v>1</v>
      </c>
      <c r="G178" t="s">
        <v>95</v>
      </c>
    </row>
    <row r="179" spans="1:7" x14ac:dyDescent="0.25">
      <c r="A179" s="20">
        <f t="shared" si="12"/>
        <v>175</v>
      </c>
      <c r="B179" s="20">
        <f t="shared" si="11"/>
        <v>12</v>
      </c>
      <c r="C179" t="s">
        <v>200</v>
      </c>
      <c r="D179" s="2">
        <v>45753</v>
      </c>
      <c r="E179">
        <f t="shared" si="14"/>
        <v>133</v>
      </c>
      <c r="F179">
        <f t="shared" si="13"/>
        <v>1</v>
      </c>
      <c r="G179" t="s">
        <v>95</v>
      </c>
    </row>
    <row r="180" spans="1:7" x14ac:dyDescent="0.25">
      <c r="A180" s="20">
        <f t="shared" si="12"/>
        <v>176</v>
      </c>
      <c r="B180" s="20">
        <f t="shared" si="11"/>
        <v>13</v>
      </c>
      <c r="C180" t="s">
        <v>201</v>
      </c>
      <c r="D180" s="2">
        <v>45760</v>
      </c>
      <c r="E180">
        <f t="shared" si="14"/>
        <v>134</v>
      </c>
      <c r="F180">
        <f t="shared" si="13"/>
        <v>1</v>
      </c>
      <c r="G180" t="s">
        <v>95</v>
      </c>
    </row>
    <row r="181" spans="1:7" x14ac:dyDescent="0.25">
      <c r="A181" s="20">
        <f t="shared" si="12"/>
        <v>177</v>
      </c>
      <c r="B181" s="20">
        <f t="shared" si="11"/>
        <v>14</v>
      </c>
      <c r="C181" t="s">
        <v>202</v>
      </c>
      <c r="D181" s="2">
        <v>45767</v>
      </c>
      <c r="E181">
        <f t="shared" si="14"/>
        <v>135</v>
      </c>
      <c r="F181">
        <f t="shared" si="13"/>
        <v>1</v>
      </c>
      <c r="G181" t="s">
        <v>95</v>
      </c>
    </row>
    <row r="182" spans="1:7" x14ac:dyDescent="0.25">
      <c r="A182" s="20">
        <f t="shared" si="12"/>
        <v>178</v>
      </c>
      <c r="B182" s="20">
        <f t="shared" si="11"/>
        <v>15</v>
      </c>
      <c r="C182" t="s">
        <v>81</v>
      </c>
      <c r="D182" s="2">
        <v>45774</v>
      </c>
      <c r="E182">
        <f t="shared" si="14"/>
        <v>136</v>
      </c>
      <c r="F182">
        <f t="shared" si="13"/>
        <v>1</v>
      </c>
      <c r="G182" t="s">
        <v>95</v>
      </c>
    </row>
    <row r="183" spans="1:7" x14ac:dyDescent="0.25">
      <c r="A183" s="20">
        <f t="shared" si="12"/>
        <v>179</v>
      </c>
      <c r="B183" s="20">
        <f t="shared" si="11"/>
        <v>16</v>
      </c>
      <c r="C183" t="s">
        <v>82</v>
      </c>
      <c r="D183" s="2">
        <v>45781</v>
      </c>
      <c r="E183">
        <f t="shared" si="14"/>
        <v>137</v>
      </c>
      <c r="F183">
        <f t="shared" si="13"/>
        <v>1</v>
      </c>
      <c r="G183" t="s">
        <v>95</v>
      </c>
    </row>
    <row r="184" spans="1:7" x14ac:dyDescent="0.25">
      <c r="A184" s="20">
        <f t="shared" si="12"/>
        <v>180</v>
      </c>
      <c r="B184" s="20">
        <f t="shared" si="11"/>
        <v>17</v>
      </c>
      <c r="C184" t="s">
        <v>83</v>
      </c>
      <c r="D184" s="2">
        <v>45788</v>
      </c>
      <c r="E184">
        <f t="shared" si="14"/>
        <v>138</v>
      </c>
      <c r="F184">
        <f t="shared" si="13"/>
        <v>1</v>
      </c>
      <c r="G184" t="s">
        <v>95</v>
      </c>
    </row>
    <row r="185" spans="1:7" x14ac:dyDescent="0.25">
      <c r="A185" s="20">
        <f t="shared" si="12"/>
        <v>181</v>
      </c>
      <c r="B185" s="20">
        <f t="shared" si="11"/>
        <v>18</v>
      </c>
      <c r="C185" t="s">
        <v>203</v>
      </c>
      <c r="D185" s="2">
        <v>45795</v>
      </c>
      <c r="E185">
        <f t="shared" si="14"/>
        <v>139</v>
      </c>
      <c r="F185">
        <f t="shared" si="13"/>
        <v>1</v>
      </c>
      <c r="G185" t="s">
        <v>95</v>
      </c>
    </row>
    <row r="186" spans="1:7" x14ac:dyDescent="0.25">
      <c r="A186" s="20">
        <f t="shared" si="12"/>
        <v>182</v>
      </c>
      <c r="B186" s="20">
        <f t="shared" si="11"/>
        <v>19</v>
      </c>
      <c r="C186" t="s">
        <v>204</v>
      </c>
      <c r="D186" s="2">
        <v>45802</v>
      </c>
      <c r="E186">
        <f t="shared" si="14"/>
        <v>140</v>
      </c>
      <c r="F186">
        <f t="shared" si="13"/>
        <v>1</v>
      </c>
      <c r="G186" t="s">
        <v>95</v>
      </c>
    </row>
    <row r="187" spans="1:7" x14ac:dyDescent="0.25">
      <c r="A187" s="20">
        <f t="shared" si="12"/>
        <v>183</v>
      </c>
      <c r="B187" s="20">
        <f t="shared" si="11"/>
        <v>20</v>
      </c>
      <c r="C187" t="s">
        <v>84</v>
      </c>
      <c r="D187" s="2">
        <v>45809</v>
      </c>
      <c r="E187">
        <f t="shared" si="14"/>
        <v>141</v>
      </c>
      <c r="F187">
        <f t="shared" si="13"/>
        <v>1</v>
      </c>
      <c r="G187" t="s">
        <v>95</v>
      </c>
    </row>
    <row r="188" spans="1:7" x14ac:dyDescent="0.25">
      <c r="A188" s="20">
        <f t="shared" si="12"/>
        <v>184</v>
      </c>
      <c r="B188" s="20">
        <f t="shared" si="11"/>
        <v>21</v>
      </c>
      <c r="C188" t="s">
        <v>85</v>
      </c>
      <c r="D188" s="2">
        <v>45816</v>
      </c>
      <c r="E188">
        <f t="shared" si="14"/>
        <v>142</v>
      </c>
      <c r="F188">
        <f t="shared" si="13"/>
        <v>1</v>
      </c>
      <c r="G188" t="s">
        <v>95</v>
      </c>
    </row>
    <row r="189" spans="1:7" x14ac:dyDescent="0.25">
      <c r="A189" s="20">
        <f t="shared" si="12"/>
        <v>185</v>
      </c>
      <c r="B189" s="20">
        <f t="shared" si="11"/>
        <v>22</v>
      </c>
      <c r="C189" t="s">
        <v>205</v>
      </c>
      <c r="D189" s="2">
        <v>45823</v>
      </c>
      <c r="E189">
        <f t="shared" si="14"/>
        <v>143</v>
      </c>
      <c r="F189">
        <f t="shared" si="13"/>
        <v>1</v>
      </c>
      <c r="G189" t="s">
        <v>95</v>
      </c>
    </row>
    <row r="190" spans="1:7" x14ac:dyDescent="0.25">
      <c r="A190" s="20">
        <f t="shared" si="12"/>
        <v>186</v>
      </c>
      <c r="B190" s="20">
        <f t="shared" si="11"/>
        <v>23</v>
      </c>
      <c r="C190" t="s">
        <v>86</v>
      </c>
      <c r="D190" s="2">
        <v>45830</v>
      </c>
      <c r="E190">
        <f t="shared" si="14"/>
        <v>144</v>
      </c>
      <c r="F190">
        <f t="shared" si="13"/>
        <v>1</v>
      </c>
      <c r="G190" t="s">
        <v>95</v>
      </c>
    </row>
    <row r="191" spans="1:7" x14ac:dyDescent="0.25">
      <c r="A191" s="20">
        <f t="shared" si="12"/>
        <v>187</v>
      </c>
      <c r="B191" s="20">
        <f t="shared" si="11"/>
        <v>24</v>
      </c>
      <c r="C191" t="s">
        <v>87</v>
      </c>
      <c r="D191" s="2">
        <v>45837</v>
      </c>
      <c r="E191">
        <f t="shared" si="14"/>
        <v>145</v>
      </c>
      <c r="F191">
        <f t="shared" si="13"/>
        <v>1</v>
      </c>
      <c r="G191" t="s">
        <v>95</v>
      </c>
    </row>
    <row r="192" spans="1:7" x14ac:dyDescent="0.25">
      <c r="A192" s="20">
        <f t="shared" si="12"/>
        <v>188</v>
      </c>
      <c r="B192" s="20">
        <f t="shared" si="11"/>
        <v>25</v>
      </c>
      <c r="C192" t="s">
        <v>88</v>
      </c>
      <c r="D192" s="2">
        <v>45851</v>
      </c>
      <c r="E192">
        <f t="shared" si="14"/>
        <v>146</v>
      </c>
      <c r="F192">
        <f t="shared" si="13"/>
        <v>1</v>
      </c>
      <c r="G192" t="s">
        <v>95</v>
      </c>
    </row>
    <row r="193" spans="1:7" x14ac:dyDescent="0.25">
      <c r="A193" s="20">
        <f t="shared" si="12"/>
        <v>189</v>
      </c>
      <c r="B193" s="20">
        <f t="shared" si="11"/>
        <v>26</v>
      </c>
      <c r="C193" t="s">
        <v>89</v>
      </c>
      <c r="D193" s="2">
        <v>45858</v>
      </c>
      <c r="E193">
        <f t="shared" si="14"/>
        <v>147</v>
      </c>
      <c r="F193">
        <f t="shared" si="13"/>
        <v>1</v>
      </c>
      <c r="G193" t="s">
        <v>95</v>
      </c>
    </row>
    <row r="194" spans="1:7" x14ac:dyDescent="0.25">
      <c r="A194" s="20">
        <f t="shared" si="12"/>
        <v>190</v>
      </c>
      <c r="B194" s="20">
        <f t="shared" si="11"/>
        <v>27</v>
      </c>
      <c r="C194" t="s">
        <v>206</v>
      </c>
      <c r="D194" s="2">
        <v>45865</v>
      </c>
      <c r="E194">
        <f t="shared" si="14"/>
        <v>148</v>
      </c>
      <c r="F194">
        <f t="shared" si="13"/>
        <v>1</v>
      </c>
      <c r="G194" t="s">
        <v>95</v>
      </c>
    </row>
    <row r="195" spans="1:7" x14ac:dyDescent="0.25">
      <c r="A195" s="20">
        <f t="shared" si="12"/>
        <v>191</v>
      </c>
      <c r="B195" s="20">
        <f t="shared" ref="B195:B212" si="15">IFERROR(IF(G195&lt;&gt;"NFC",B194,
IF(D195=D194,B194,IF(YEAR(D195)&lt;&gt;YEAR(D194),1,B194+1))),1)</f>
        <v>28</v>
      </c>
      <c r="C195" t="s">
        <v>178</v>
      </c>
      <c r="D195" s="2">
        <v>45872</v>
      </c>
      <c r="E195">
        <f t="shared" si="14"/>
        <v>149</v>
      </c>
      <c r="F195">
        <f t="shared" si="13"/>
        <v>1</v>
      </c>
      <c r="G195" t="s">
        <v>95</v>
      </c>
    </row>
    <row r="196" spans="1:7" x14ac:dyDescent="0.25">
      <c r="A196" s="20">
        <f t="shared" ref="A196:A212" si="16">IF(G196&lt;&gt;"NFC",A195,IF(D196=D195,A195,A195+1))</f>
        <v>192</v>
      </c>
      <c r="B196" s="20">
        <f t="shared" si="15"/>
        <v>29</v>
      </c>
      <c r="C196" t="s">
        <v>207</v>
      </c>
      <c r="D196" s="2">
        <v>45879</v>
      </c>
      <c r="E196">
        <f t="shared" si="14"/>
        <v>150</v>
      </c>
      <c r="F196">
        <f t="shared" si="13"/>
        <v>1</v>
      </c>
      <c r="G196" t="s">
        <v>95</v>
      </c>
    </row>
    <row r="197" spans="1:7" x14ac:dyDescent="0.25">
      <c r="A197" s="20">
        <f t="shared" si="16"/>
        <v>193</v>
      </c>
      <c r="B197" s="20">
        <f t="shared" si="15"/>
        <v>30</v>
      </c>
      <c r="C197" t="s">
        <v>208</v>
      </c>
      <c r="D197" s="2">
        <v>45886</v>
      </c>
      <c r="E197">
        <f t="shared" si="14"/>
        <v>151</v>
      </c>
      <c r="F197">
        <f t="shared" si="13"/>
        <v>1</v>
      </c>
      <c r="G197" t="s">
        <v>95</v>
      </c>
    </row>
    <row r="198" spans="1:7" x14ac:dyDescent="0.25">
      <c r="A198" s="20">
        <f t="shared" si="16"/>
        <v>194</v>
      </c>
      <c r="B198" s="20">
        <f t="shared" si="15"/>
        <v>31</v>
      </c>
      <c r="C198" t="s">
        <v>209</v>
      </c>
      <c r="D198" s="2">
        <v>45893</v>
      </c>
      <c r="E198">
        <f t="shared" si="14"/>
        <v>152</v>
      </c>
      <c r="F198">
        <f t="shared" si="13"/>
        <v>1</v>
      </c>
      <c r="G198" t="s">
        <v>95</v>
      </c>
    </row>
    <row r="199" spans="1:7" x14ac:dyDescent="0.25">
      <c r="A199" s="20">
        <f t="shared" si="16"/>
        <v>195</v>
      </c>
      <c r="B199" s="20">
        <f t="shared" si="15"/>
        <v>32</v>
      </c>
      <c r="C199" t="s">
        <v>210</v>
      </c>
      <c r="D199" s="2">
        <v>45900</v>
      </c>
      <c r="E199">
        <f t="shared" si="14"/>
        <v>153</v>
      </c>
      <c r="F199">
        <f t="shared" si="13"/>
        <v>1</v>
      </c>
      <c r="G199" t="s">
        <v>95</v>
      </c>
    </row>
    <row r="200" spans="1:7" x14ac:dyDescent="0.25">
      <c r="A200" s="20">
        <f t="shared" si="16"/>
        <v>196</v>
      </c>
      <c r="B200" s="20">
        <f t="shared" si="15"/>
        <v>33</v>
      </c>
      <c r="C200" t="s">
        <v>211</v>
      </c>
      <c r="D200" s="2">
        <v>45907</v>
      </c>
      <c r="E200">
        <f t="shared" si="14"/>
        <v>154</v>
      </c>
      <c r="F200">
        <f t="shared" si="13"/>
        <v>1</v>
      </c>
      <c r="G200" t="s">
        <v>95</v>
      </c>
    </row>
    <row r="201" spans="1:7" x14ac:dyDescent="0.25">
      <c r="A201" s="20">
        <f t="shared" si="16"/>
        <v>197</v>
      </c>
      <c r="B201" s="20">
        <f t="shared" si="15"/>
        <v>34</v>
      </c>
      <c r="C201" t="s">
        <v>212</v>
      </c>
      <c r="D201" s="2">
        <v>45914</v>
      </c>
      <c r="E201">
        <f t="shared" si="14"/>
        <v>155</v>
      </c>
      <c r="F201">
        <f t="shared" si="13"/>
        <v>1</v>
      </c>
      <c r="G201" t="s">
        <v>95</v>
      </c>
    </row>
    <row r="202" spans="1:7" x14ac:dyDescent="0.25">
      <c r="A202" s="20">
        <f t="shared" si="16"/>
        <v>198</v>
      </c>
      <c r="B202" s="20">
        <f t="shared" si="15"/>
        <v>35</v>
      </c>
      <c r="C202" t="s">
        <v>213</v>
      </c>
      <c r="D202" s="2">
        <v>45921</v>
      </c>
      <c r="E202">
        <f t="shared" si="14"/>
        <v>156</v>
      </c>
      <c r="F202">
        <f t="shared" si="13"/>
        <v>1</v>
      </c>
      <c r="G202" t="s">
        <v>95</v>
      </c>
    </row>
    <row r="203" spans="1:7" x14ac:dyDescent="0.25">
      <c r="A203" s="20">
        <f t="shared" si="16"/>
        <v>199</v>
      </c>
      <c r="B203" s="20">
        <f t="shared" si="15"/>
        <v>36</v>
      </c>
      <c r="C203" t="s">
        <v>214</v>
      </c>
      <c r="D203" s="2">
        <v>45928</v>
      </c>
      <c r="E203">
        <f t="shared" si="14"/>
        <v>157</v>
      </c>
      <c r="F203">
        <f t="shared" si="13"/>
        <v>1</v>
      </c>
      <c r="G203" t="s">
        <v>95</v>
      </c>
    </row>
    <row r="204" spans="1:7" x14ac:dyDescent="0.25">
      <c r="A204" s="20">
        <f t="shared" si="16"/>
        <v>200</v>
      </c>
      <c r="B204" s="20">
        <f t="shared" si="15"/>
        <v>37</v>
      </c>
      <c r="C204" t="s">
        <v>215</v>
      </c>
      <c r="D204" s="2">
        <v>45935</v>
      </c>
      <c r="E204">
        <f t="shared" si="14"/>
        <v>158</v>
      </c>
      <c r="F204">
        <f t="shared" si="13"/>
        <v>1</v>
      </c>
      <c r="G204" t="s">
        <v>95</v>
      </c>
    </row>
    <row r="205" spans="1:7" x14ac:dyDescent="0.25">
      <c r="A205" s="20">
        <f t="shared" si="16"/>
        <v>201</v>
      </c>
      <c r="B205" s="20">
        <f t="shared" si="15"/>
        <v>38</v>
      </c>
      <c r="C205" t="s">
        <v>216</v>
      </c>
      <c r="D205" s="2">
        <v>45942</v>
      </c>
      <c r="E205">
        <f t="shared" si="14"/>
        <v>159</v>
      </c>
      <c r="F205">
        <f t="shared" si="13"/>
        <v>1</v>
      </c>
      <c r="G205" t="s">
        <v>95</v>
      </c>
    </row>
    <row r="206" spans="1:7" x14ac:dyDescent="0.25">
      <c r="A206" s="20">
        <f t="shared" si="16"/>
        <v>202</v>
      </c>
      <c r="B206" s="20">
        <f t="shared" si="15"/>
        <v>39</v>
      </c>
      <c r="C206" t="s">
        <v>217</v>
      </c>
      <c r="D206" s="2">
        <v>45949</v>
      </c>
      <c r="E206">
        <f t="shared" si="14"/>
        <v>160</v>
      </c>
      <c r="F206">
        <f t="shared" si="13"/>
        <v>1</v>
      </c>
      <c r="G206" t="s">
        <v>95</v>
      </c>
    </row>
    <row r="207" spans="1:7" x14ac:dyDescent="0.25">
      <c r="A207" s="20">
        <f t="shared" si="16"/>
        <v>203</v>
      </c>
      <c r="B207" s="20">
        <f t="shared" si="15"/>
        <v>40</v>
      </c>
      <c r="C207" t="s">
        <v>218</v>
      </c>
      <c r="D207" s="2">
        <v>45956</v>
      </c>
      <c r="E207">
        <f t="shared" si="14"/>
        <v>161</v>
      </c>
      <c r="F207">
        <f t="shared" si="13"/>
        <v>1</v>
      </c>
      <c r="G207" t="s">
        <v>95</v>
      </c>
    </row>
    <row r="208" spans="1:7" x14ac:dyDescent="0.25">
      <c r="A208" s="20">
        <f t="shared" si="16"/>
        <v>204</v>
      </c>
      <c r="B208" s="20">
        <f t="shared" si="15"/>
        <v>41</v>
      </c>
      <c r="C208" t="s">
        <v>219</v>
      </c>
      <c r="D208" s="2">
        <v>45963</v>
      </c>
      <c r="E208">
        <f t="shared" si="14"/>
        <v>162</v>
      </c>
      <c r="F208">
        <f t="shared" si="13"/>
        <v>1</v>
      </c>
      <c r="G208" t="s">
        <v>95</v>
      </c>
    </row>
    <row r="209" spans="1:7" x14ac:dyDescent="0.25">
      <c r="A209" s="20">
        <f t="shared" si="16"/>
        <v>205</v>
      </c>
      <c r="B209" s="20">
        <f t="shared" si="15"/>
        <v>42</v>
      </c>
      <c r="C209" t="s">
        <v>220</v>
      </c>
      <c r="D209" s="2">
        <v>45970</v>
      </c>
      <c r="E209">
        <f t="shared" si="14"/>
        <v>163</v>
      </c>
      <c r="F209">
        <f t="shared" si="13"/>
        <v>1</v>
      </c>
      <c r="G209" t="s">
        <v>95</v>
      </c>
    </row>
    <row r="210" spans="1:7" x14ac:dyDescent="0.25">
      <c r="A210" s="20">
        <f t="shared" si="16"/>
        <v>206</v>
      </c>
      <c r="B210" s="20">
        <f t="shared" si="15"/>
        <v>43</v>
      </c>
      <c r="C210" t="s">
        <v>221</v>
      </c>
      <c r="D210" s="2">
        <v>45977</v>
      </c>
      <c r="E210">
        <f t="shared" si="14"/>
        <v>164</v>
      </c>
      <c r="F210">
        <f t="shared" si="13"/>
        <v>1</v>
      </c>
      <c r="G210" t="s">
        <v>95</v>
      </c>
    </row>
    <row r="211" spans="1:7" x14ac:dyDescent="0.25">
      <c r="A211" s="20">
        <f t="shared" si="16"/>
        <v>207</v>
      </c>
      <c r="B211" s="20">
        <f t="shared" si="15"/>
        <v>44</v>
      </c>
      <c r="C211" t="s">
        <v>222</v>
      </c>
      <c r="D211" s="2">
        <v>45984</v>
      </c>
      <c r="E211">
        <f t="shared" si="14"/>
        <v>165</v>
      </c>
      <c r="F211">
        <f t="shared" si="13"/>
        <v>1</v>
      </c>
      <c r="G211" t="s">
        <v>95</v>
      </c>
    </row>
    <row r="212" spans="1:7" x14ac:dyDescent="0.25">
      <c r="A212" s="20">
        <f t="shared" si="16"/>
        <v>208</v>
      </c>
      <c r="B212" s="20">
        <f t="shared" si="15"/>
        <v>45</v>
      </c>
      <c r="C212" t="s">
        <v>223</v>
      </c>
      <c r="D212" s="2">
        <v>45991</v>
      </c>
      <c r="E212">
        <f t="shared" si="14"/>
        <v>166</v>
      </c>
      <c r="F212">
        <f t="shared" si="13"/>
        <v>1</v>
      </c>
      <c r="G212" t="s">
        <v>95</v>
      </c>
    </row>
    <row r="213" spans="1:7" x14ac:dyDescent="0.25">
      <c r="D213" s="2"/>
    </row>
    <row r="214" spans="1:7" x14ac:dyDescent="0.25">
      <c r="D214" s="2"/>
    </row>
    <row r="215" spans="1:7" x14ac:dyDescent="0.25">
      <c r="D215" s="2"/>
    </row>
    <row r="216" spans="1:7" x14ac:dyDescent="0.25">
      <c r="D216" s="2"/>
    </row>
    <row r="217" spans="1:7" x14ac:dyDescent="0.25">
      <c r="D217" s="2"/>
    </row>
    <row r="218" spans="1:7" x14ac:dyDescent="0.25">
      <c r="D218" s="2"/>
    </row>
    <row r="219" spans="1:7" x14ac:dyDescent="0.25">
      <c r="D219" s="2"/>
    </row>
    <row r="220" spans="1:7" x14ac:dyDescent="0.25">
      <c r="D220" s="2"/>
    </row>
    <row r="221" spans="1:7" x14ac:dyDescent="0.25">
      <c r="D221" s="2"/>
    </row>
    <row r="222" spans="1:7" x14ac:dyDescent="0.25">
      <c r="D222" s="2"/>
    </row>
    <row r="223" spans="1:7" x14ac:dyDescent="0.25">
      <c r="D223" s="2"/>
    </row>
    <row r="224" spans="1:7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NFC Score</vt:lpstr>
      <vt:lpstr>NFC All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Ogu</dc:creator>
  <cp:lastModifiedBy>Manny Ogu</cp:lastModifiedBy>
  <dcterms:created xsi:type="dcterms:W3CDTF">2026-07-28T09:06:42Z</dcterms:created>
  <dcterms:modified xsi:type="dcterms:W3CDTF">2026-07-28T09:07:47Z</dcterms:modified>
</cp:coreProperties>
</file>